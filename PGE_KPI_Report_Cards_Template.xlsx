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f2080bcc6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Overview" sheetId="1" r:id="Rc2aaf8edd1e84d04"/>
    <x:sheet xmlns:r="http://schemas.openxmlformats.org/officeDocument/2006/relationships" name="01 Report Index" sheetId="2" r:id="R33d378593ee44c3f"/>
    <x:sheet xmlns:r="http://schemas.openxmlformats.org/officeDocument/2006/relationships" name="RPT OPS Head Prod" sheetId="3" r:id="R8aa4436635984cca"/>
    <x:sheet xmlns:r="http://schemas.openxmlformats.org/officeDocument/2006/relationships" name="RPT OPS Operator" sheetId="4" r:id="R00216d52828d42a9"/>
    <x:sheet xmlns:r="http://schemas.openxmlformats.org/officeDocument/2006/relationships" name="RPT OPS QC" sheetId="5" r:id="Re659e0f0d5154758"/>
    <x:sheet xmlns:r="http://schemas.openxmlformats.org/officeDocument/2006/relationships" name="RPT OPS Gudang" sheetId="6" r:id="Rc904004daa624a35"/>
    <x:sheet xmlns:r="http://schemas.openxmlformats.org/officeDocument/2006/relationships" name="RPT OPS Logistik" sheetId="7" r:id="R5772da7c4b8149aa"/>
    <x:sheet xmlns:r="http://schemas.openxmlformats.org/officeDocument/2006/relationships" name="RPT OPS Admin Ops" sheetId="8" r:id="R7c7da48232c94bb9"/>
    <x:sheet xmlns:r="http://schemas.openxmlformats.org/officeDocument/2006/relationships" name="RPT OPS Helper" sheetId="9" r:id="R8ac6e61fe4794a29"/>
    <x:sheet xmlns:r="http://schemas.openxmlformats.org/officeDocument/2006/relationships" name="RPT SM Head" sheetId="10" r:id="R388dc2cf193340cc"/>
    <x:sheet xmlns:r="http://schemas.openxmlformats.org/officeDocument/2006/relationships" name="RPT SM Marketing" sheetId="11" r:id="R48f6368d79f94de7"/>
    <x:sheet xmlns:r="http://schemas.openxmlformats.org/officeDocument/2006/relationships" name="RPT SM Sales" sheetId="12" r:id="R6bdd596bb58e45ba"/>
    <x:sheet xmlns:r="http://schemas.openxmlformats.org/officeDocument/2006/relationships" name="RPT SM Sosmed" sheetId="13" r:id="Raf78bd29f0dc4cb0"/>
    <x:sheet xmlns:r="http://schemas.openxmlformats.org/officeDocument/2006/relationships" name="RPT RND Head" sheetId="14" r:id="Rc69a43b21acc4587"/>
    <x:sheet xmlns:r="http://schemas.openxmlformats.org/officeDocument/2006/relationships" name="RPT RND Designer" sheetId="15" r:id="R4044cbc2fe9c440c"/>
    <x:sheet xmlns:r="http://schemas.openxmlformats.org/officeDocument/2006/relationships" name="RPT RND Tech" sheetId="16" r:id="Rd3916d9414b743c3"/>
    <x:sheet xmlns:r="http://schemas.openxmlformats.org/officeDocument/2006/relationships" name="RPT FAT Generalist" sheetId="17" r:id="R7bd69f0c3dac4544"/>
    <x:sheet xmlns:r="http://schemas.openxmlformats.org/officeDocument/2006/relationships" name="RPT HRD Generalist" sheetId="18" r:id="Rdbca29845f684e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6E50"/>
      </x:patternFill>
    </x:fill>
    <x:fill>
      <x:patternFill patternType="solid">
        <x:fgColor rgb="FFF5FAF6"/>
      </x:patternFill>
    </x:fill>
    <x:fill>
      <x:patternFill patternType="solid">
        <x:fgColor rgb="FFEEF2F7"/>
      </x:patternFill>
    </x:fill>
    <x:fill>
      <x:patternFill patternType="solid">
        <x:fgColor rgb="FFEAF5EE"/>
      </x:patternFill>
    </x:fill>
    <x:fill>
      <x:patternFill patternType="solid">
        <x:fgColor rgb="FFE8F1FA"/>
      </x:patternFill>
    </x:fill>
    <x:fill>
      <x:patternFill patternType="solid">
        <x:fgColor rgb="FFFFF7D6"/>
      </x:patternFill>
    </x:fill>
    <x:fill>
      <x:patternFill patternType="solid">
        <x:fgColor rgb="FF2F8B66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left" vertical="center" wrapText="1"/>
    </x:xf>
    <x:xf numFmtId="0" fontId="3" fillId="7" borderId="0" xfId="0" applyNumberFormat="1" applyFont="1" applyFill="1" applyBorder="1" applyAlignment="1">
      <x:alignment horizontal="left" vertical="center" wrapText="1"/>
    </x:xf>
    <x:xf numFmtId="0" fontId="2" fillId="7" borderId="1" xfId="0" applyNumberFormat="1" applyFont="1" applyFill="1" applyBorder="1" applyAlignment="1">
      <x:alignment horizontal="left" vertical="center" wrapText="1"/>
    </x:xf>
    <x:xf numFmtId="0" fontId="3" fillId="7" borderId="1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left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left" wrapText="1"/>
    </x:xf>
    <x:xf numFmtId="0" fontId="1" fillId="8" borderId="1" xfId="0" applyNumberFormat="1" applyFont="1" applyFill="1" applyBorder="1" applyAlignment="1">
      <x:alignment horizontal="left" vertical="center" wrapText="1"/>
    </x:xf>
    <x:xf numFmtId="200" fontId="3" fillId="6" borderId="0" xfId="0" applyNumberFormat="1" applyFont="1" applyFill="1" applyBorder="1" applyAlignment="1">
      <x:alignment horizontal="center" vertical="center" wrapText="1"/>
    </x:xf>
    <x:xf numFmtId="20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left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left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 applyAlignment="1">
      <x:alignment horizontal="center" wrapText="1"/>
    </x:xf>
    <x:xf numFmtId="200" fontId="0" fillId="6" borderId="1" xfId="0" applyNumberFormat="1" applyFont="1" applyFill="1" applyBorder="1" applyAlignment="1">
      <x:alignment wrapText="1"/>
    </x:xf>
    <x:xf numFmtId="200" fontId="3" fillId="6" borderId="1" xfId="0" applyNumberFormat="1" applyFont="1" applyFill="1" applyBorder="1" applyAlignment="1">
      <x:alignment wrapText="1"/>
    </x:xf>
    <x:xf numFmtId="200" fontId="3" fillId="6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742"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AF5EE"/>
        </x:patternFill>
      </x:fill>
    </x:dxf>
    <x:dxf>
      <x:fill>
        <x:patternFill patternType="solid">
          <x:bgColor rgb="FFE8F1FA"/>
        </x:patternFill>
      </x:fill>
    </x:dxf>
    <x:dxf>
      <x:fill>
        <x:patternFill patternType="solid">
          <x:bgColor rgb="FFFFF6D6"/>
        </x:patternFill>
      </x:fill>
    </x:dxf>
    <x:dxf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c31cdceb04883" /><Relationship Type="http://schemas.openxmlformats.org/officeDocument/2006/relationships/theme" Target="/xl/theme/theme1.xml" Id="R2466a1490fd747f3" /><Relationship Type="http://schemas.openxmlformats.org/officeDocument/2006/relationships/sharedStrings" Target="/xl/sharedStrings.xml" Id="R19895e25503e4399" /><Relationship Type="http://schemas.openxmlformats.org/officeDocument/2006/relationships/worksheet" Target="/xl/worksheets/sheet1.xml" Id="Rc2aaf8edd1e84d04" /><Relationship Type="http://schemas.openxmlformats.org/officeDocument/2006/relationships/worksheet" Target="/xl/worksheets/sheet2.xml" Id="R33d378593ee44c3f" /><Relationship Type="http://schemas.openxmlformats.org/officeDocument/2006/relationships/worksheet" Target="/xl/worksheets/sheet3.xml" Id="R8aa4436635984cca" /><Relationship Type="http://schemas.openxmlformats.org/officeDocument/2006/relationships/worksheet" Target="/xl/worksheets/sheet4.xml" Id="R00216d52828d42a9" /><Relationship Type="http://schemas.openxmlformats.org/officeDocument/2006/relationships/worksheet" Target="/xl/worksheets/sheet5.xml" Id="Re659e0f0d5154758" /><Relationship Type="http://schemas.openxmlformats.org/officeDocument/2006/relationships/worksheet" Target="/xl/worksheets/sheet6.xml" Id="Rc904004daa624a35" /><Relationship Type="http://schemas.openxmlformats.org/officeDocument/2006/relationships/worksheet" Target="/xl/worksheets/sheet7.xml" Id="R5772da7c4b8149aa" /><Relationship Type="http://schemas.openxmlformats.org/officeDocument/2006/relationships/worksheet" Target="/xl/worksheets/sheet8.xml" Id="R7c7da48232c94bb9" /><Relationship Type="http://schemas.openxmlformats.org/officeDocument/2006/relationships/worksheet" Target="/xl/worksheets/sheet9.xml" Id="R8ac6e61fe4794a29" /><Relationship Type="http://schemas.openxmlformats.org/officeDocument/2006/relationships/worksheet" Target="/xl/worksheets/sheet10.xml" Id="R388dc2cf193340cc" /><Relationship Type="http://schemas.openxmlformats.org/officeDocument/2006/relationships/worksheet" Target="/xl/worksheets/sheet11.xml" Id="R48f6368d79f94de7" /><Relationship Type="http://schemas.openxmlformats.org/officeDocument/2006/relationships/worksheet" Target="/xl/worksheets/sheet12.xml" Id="R6bdd596bb58e45ba" /><Relationship Type="http://schemas.openxmlformats.org/officeDocument/2006/relationships/worksheet" Target="/xl/worksheets/sheet13.xml" Id="Raf78bd29f0dc4cb0" /><Relationship Type="http://schemas.openxmlformats.org/officeDocument/2006/relationships/worksheet" Target="/xl/worksheets/sheet14.xml" Id="Rc69a43b21acc4587" /><Relationship Type="http://schemas.openxmlformats.org/officeDocument/2006/relationships/worksheet" Target="/xl/worksheets/sheet15.xml" Id="R4044cbc2fe9c440c" /><Relationship Type="http://schemas.openxmlformats.org/officeDocument/2006/relationships/worksheet" Target="/xl/worksheets/sheet16.xml" Id="Rd3916d9414b743c3" /><Relationship Type="http://schemas.openxmlformats.org/officeDocument/2006/relationships/worksheet" Target="/xl/worksheets/sheet17.xml" Id="R7bd69f0c3dac4544" /><Relationship Type="http://schemas.openxmlformats.org/officeDocument/2006/relationships/worksheet" Target="/xl/worksheets/sheet18.xml" Id="Rdbca29845f684e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4" hidden="0" customWidth="1"/>
    <x:col min="4" max="4" width="16" hidden="0" customWidth="1"/>
    <x:col min="5" max="5" width="22" hidden="0" customWidth="1"/>
    <x:col min="6" max="6" width="4" hidden="0" customWidth="1"/>
    <x:col min="7" max="7" width="34" hidden="0" customWidth="1"/>
    <x:col min="8" max="8" width="22" hidden="0" customWidth="1"/>
  </x:cols>
  <x:sheetData>
    <x:row r="1" ht="26" customHeight="1">
      <x:c r="A1" s="6" t="str">
        <x:v>PGE KPI REPORT CARD TEMPLATES</x:v>
      </x:c>
      <x:c r="B1" s="52"/>
      <x:c r="C1" s="52"/>
      <x:c r="D1" s="52"/>
      <x:c r="E1" s="52"/>
      <x:c r="F1" s="52"/>
      <x:c r="G1" s="52"/>
      <x:c r="H1" s="52"/>
    </x:row>
    <x:row r="2">
      <x:c r="A2" s="52"/>
      <x:c r="B2" s="52"/>
      <x:c r="C2" s="52"/>
      <x:c r="D2" s="52"/>
      <x:c r="E2" s="52"/>
      <x:c r="F2" s="52"/>
      <x:c r="G2" s="52"/>
      <x:c r="H2" s="52"/>
    </x:row>
    <x:row r="3" ht="24" customHeight="1">
      <x:c r="A3" s="16" t="str">
        <x:v>Purpose: Simple monthly report cards for every applicable KPI in the current role-based KPI workbook.</x:v>
      </x:c>
      <x:c r="B3" s="52"/>
      <x:c r="C3" s="52"/>
      <x:c r="D3" s="52"/>
      <x:c r="E3" s="52"/>
      <x:c r="F3" s="52"/>
      <x:c r="G3" s="52"/>
      <x:c r="H3" s="52"/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34" customHeight="1">
      <x:c r="A5" s="26" t="str">
        <x:v>How to use: Fill only the yellow cells. Enter Achievement % as a number from 0–100 for each KPI detail. Card score, weighted score, and status calculate automatically.</x:v>
      </x:c>
      <x:c r="B5" s="52"/>
      <x:c r="C5" s="52"/>
      <x:c r="D5" s="52"/>
      <x:c r="E5" s="52"/>
      <x:c r="F5" s="52"/>
      <x:c r="G5" s="52"/>
      <x:c r="H5" s="52"/>
    </x:row>
    <x:row r="6">
      <x:c r="A6" s="52"/>
      <x:c r="B6" s="52"/>
      <x:c r="C6" s="52"/>
      <x:c r="D6" s="52"/>
      <x:c r="E6" s="52"/>
      <x:c r="F6" s="52"/>
      <x:c r="G6" s="52"/>
      <x:c r="H6" s="52"/>
    </x:row>
    <x:row r="7">
      <x:c r="A7" s="36" t="str">
        <x:v>Rule</x:v>
      </x:c>
      <x:c r="B7" s="36" t="str">
        <x:v>Explanation</x:v>
      </x:c>
      <x:c r="C7" s="52"/>
      <x:c r="D7" s="36" t="str">
        <x:v>Score Range</x:v>
      </x:c>
      <x:c r="E7" s="36" t="str">
        <x:v>Status</x:v>
      </x:c>
      <x:c r="F7" s="52"/>
      <x:c r="G7" s="36" t="str">
        <x:v>Department</x:v>
      </x:c>
      <x:c r="H7" s="36" t="str">
        <x:v>Applicable Report Cards</x:v>
      </x:c>
    </x:row>
    <x:row r="8">
      <x:c r="A8" s="26" t="str">
        <x:v>Applicable KPI only</x:v>
      </x:c>
      <x:c r="B8" s="16" t="str">
        <x:v>Grey / inactive KPI rows in the source file are excluded.</x:v>
      </x:c>
      <x:c r="C8" s="52"/>
      <x:c r="D8" s="26" t="str">
        <x:v>90–100</x:v>
      </x:c>
      <x:c r="E8" s="16" t="str">
        <x:v>On Track</x:v>
      </x:c>
      <x:c r="F8" s="52"/>
      <x:c r="G8" s="26" t="str">
        <x:v>Operations</x:v>
      </x:c>
      <x:c r="H8" s="46" t="n">
        <x:v>26</x:v>
      </x:c>
    </x:row>
    <x:row r="9">
      <x:c r="A9" s="26" t="str">
        <x:v>Reweighted score</x:v>
      </x:c>
      <x:c r="B9" s="16" t="str">
        <x:v>Remaining active KPI weights are normalized to 100% for each role.</x:v>
      </x:c>
      <x:c r="C9" s="52"/>
      <x:c r="D9" s="26" t="str">
        <x:v>80–89</x:v>
      </x:c>
      <x:c r="E9" s="16" t="str">
        <x:v>Good</x:v>
      </x:c>
      <x:c r="F9" s="52"/>
      <x:c r="G9" s="26" t="str">
        <x:v>Sales &amp; Marketing</x:v>
      </x:c>
      <x:c r="H9" s="46" t="n">
        <x:v>13</x:v>
      </x:c>
    </x:row>
    <x:row r="10">
      <x:c r="A10" s="26" t="str">
        <x:v>Evidence</x:v>
      </x:c>
      <x:c r="B10" s="16" t="str">
        <x:v>Use report link, folder, file name, form number, dashboard screenshot, or log reference.</x:v>
      </x:c>
      <x:c r="C10" s="52"/>
      <x:c r="D10" s="26" t="str">
        <x:v>70–79</x:v>
      </x:c>
      <x:c r="E10" s="16" t="str">
        <x:v>Need Improvement</x:v>
      </x:c>
      <x:c r="F10" s="52"/>
      <x:c r="G10" s="26" t="str">
        <x:v>Research &amp; Development</x:v>
      </x:c>
      <x:c r="H10" s="46" t="n">
        <x:v>11</x:v>
      </x:c>
    </x:row>
    <x:row r="11">
      <x:c r="A11" s="26" t="str">
        <x:v>Low score follow-up</x:v>
      </x:c>
      <x:c r="B11" s="16" t="str">
        <x:v>Document root cause and action plan in the report card.</x:v>
      </x:c>
      <x:c r="C11" s="52"/>
      <x:c r="D11" s="26" t="str">
        <x:v>&lt;70</x:v>
      </x:c>
      <x:c r="E11" s="16" t="str">
        <x:v>Priority</x:v>
      </x:c>
      <x:c r="F11" s="52"/>
      <x:c r="G11" s="26" t="str">
        <x:v>Finance, Accounting &amp; Tax</x:v>
      </x:c>
      <x:c r="H11" s="46" t="n">
        <x:v>4</x:v>
      </x:c>
    </x:row>
    <x:row r="12">
      <x:c r="A12" s="52"/>
      <x:c r="B12" s="52"/>
      <x:c r="C12" s="52"/>
      <x:c r="D12" s="26" t="str">
        <x:v>Blank</x:v>
      </x:c>
      <x:c r="E12" s="16" t="str">
        <x:v>Waiting for input</x:v>
      </x:c>
      <x:c r="F12" s="52"/>
      <x:c r="G12" s="26" t="str">
        <x:v>HRD GA</x:v>
      </x:c>
      <x:c r="H12" s="46" t="n">
        <x:v>4</x:v>
      </x:c>
    </x:row>
    <x:row r="13">
      <x:c r="A13" s="52"/>
      <x:c r="B13" s="52"/>
      <x:c r="C13" s="52"/>
      <x:c r="D13" s="52"/>
      <x:c r="E13" s="52"/>
      <x:c r="F13" s="52"/>
      <x:c r="G13" s="52"/>
      <x:c r="H13" s="52"/>
    </x:row>
    <x:row r="14">
      <x:c r="A14" s="16" t="str">
        <x:v>Source used: KPI_Role_Based_Monitoring_PGE (1).xlsx | Created report cards: 58</x:v>
      </x:c>
      <x:c r="B14" s="52"/>
      <x:c r="C14" s="52"/>
      <x:c r="D14" s="52"/>
      <x:c r="E14" s="52"/>
      <x:c r="F14" s="52"/>
      <x:c r="G14" s="52"/>
      <x:c r="H14" s="52"/>
    </x:row>
    <x:row r="15">
      <x:c r="A15" s="52"/>
      <x:c r="B15" s="52"/>
      <x:c r="C15" s="52"/>
      <x:c r="D15" s="52"/>
      <x:c r="E15" s="52"/>
      <x:c r="F15" s="52"/>
      <x:c r="G15" s="52"/>
      <x:c r="H15" s="52"/>
    </x:row>
    <x:row r="16">
      <x:c r="A16" s="52"/>
      <x:c r="B16" s="52"/>
      <x:c r="C16" s="52"/>
      <x:c r="D16" s="52"/>
      <x:c r="E16" s="52"/>
      <x:c r="F16" s="52"/>
      <x:c r="G16" s="52"/>
      <x:c r="H16" s="52"/>
    </x:row>
    <x:row r="17">
      <x:c r="A17" s="52"/>
      <x:c r="B17" s="52"/>
      <x:c r="C17" s="52"/>
      <x:c r="D17" s="52"/>
      <x:c r="E17" s="52"/>
      <x:c r="F17" s="52"/>
      <x:c r="G17" s="52"/>
      <x:c r="H17" s="52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>
      <x:c r="A19" s="52"/>
      <x:c r="B19" s="52"/>
      <x:c r="C19" s="52"/>
      <x:c r="D19" s="52"/>
      <x:c r="E19" s="52"/>
      <x:c r="F19" s="52"/>
      <x:c r="G19" s="52"/>
      <x:c r="H19" s="52"/>
    </x:row>
    <x:row r="20">
      <x:c r="A20" s="52"/>
      <x:c r="B20" s="52"/>
      <x:c r="C20" s="52"/>
      <x:c r="D20" s="52"/>
      <x:c r="E20" s="52"/>
      <x:c r="F20" s="52"/>
      <x:c r="G20" s="52"/>
      <x:c r="H20" s="52"/>
    </x:row>
    <x:row r="21">
      <x:c r="A21" s="52"/>
      <x:c r="B21" s="52"/>
      <x:c r="C21" s="52"/>
      <x:c r="D21" s="52"/>
      <x:c r="E21" s="52"/>
      <x:c r="F21" s="52"/>
      <x:c r="G21" s="52"/>
      <x:c r="H21" s="52"/>
    </x:row>
    <x:row r="22">
      <x:c r="A22" s="52"/>
      <x:c r="B22" s="52"/>
      <x:c r="C22" s="52"/>
      <x:c r="D22" s="52"/>
      <x:c r="E22" s="52"/>
      <x:c r="F22" s="52"/>
      <x:c r="G22" s="52"/>
      <x:c r="H22" s="52"/>
    </x:row>
    <x:row r="23">
      <x:c r="A23" s="52"/>
      <x:c r="B23" s="52"/>
      <x:c r="C23" s="52"/>
      <x:c r="D23" s="52"/>
      <x:c r="E23" s="52"/>
      <x:c r="F23" s="52"/>
      <x:c r="G23" s="52"/>
      <x:c r="H23" s="52"/>
    </x:row>
    <x:row r="24">
      <x:c r="A24" s="52"/>
      <x:c r="B24" s="52"/>
      <x:c r="C24" s="52"/>
      <x:c r="D24" s="52"/>
      <x:c r="E24" s="52"/>
      <x:c r="F24" s="52"/>
      <x:c r="G24" s="52"/>
      <x:c r="H24" s="52"/>
    </x:row>
    <x:row r="25">
      <x:c r="A25" s="52"/>
      <x:c r="B25" s="52"/>
      <x:c r="C25" s="52"/>
      <x:c r="D25" s="52"/>
      <x:c r="E25" s="52"/>
      <x:c r="F25" s="52"/>
      <x:c r="G25" s="52"/>
      <x:c r="H25" s="52"/>
    </x:row>
    <x:row r="26">
      <x:c r="A26" s="52"/>
      <x:c r="B26" s="52"/>
      <x:c r="C26" s="52"/>
      <x:c r="D26" s="52"/>
      <x:c r="E26" s="52"/>
      <x:c r="F26" s="52"/>
      <x:c r="G26" s="52"/>
      <x:c r="H26" s="52"/>
    </x:row>
    <x:row r="27">
      <x:c r="A27" s="52"/>
      <x:c r="B27" s="52"/>
      <x:c r="C27" s="52"/>
      <x:c r="D27" s="52"/>
      <x:c r="E27" s="52"/>
      <x:c r="F27" s="52"/>
      <x:c r="G27" s="52"/>
      <x:c r="H27" s="52"/>
    </x:row>
    <x:row r="28">
      <x:c r="A28" s="52"/>
      <x:c r="B28" s="52"/>
      <x:c r="C28" s="52"/>
      <x:c r="D28" s="52"/>
      <x:c r="E28" s="52"/>
      <x:c r="F28" s="52"/>
      <x:c r="G28" s="52"/>
      <x:c r="H28" s="52"/>
    </x:row>
    <x:row r="29">
      <x:c r="A29" s="52"/>
      <x:c r="B29" s="52"/>
      <x:c r="C29" s="52"/>
      <x:c r="D29" s="52"/>
      <x:c r="E29" s="52"/>
      <x:c r="F29" s="52"/>
      <x:c r="G29" s="52"/>
      <x:c r="H29" s="52"/>
    </x:row>
    <x:row r="30">
      <x:c r="A30" s="52"/>
      <x:c r="B30" s="52"/>
      <x:c r="C30" s="52"/>
      <x:c r="D30" s="52"/>
      <x:c r="E30" s="52"/>
      <x:c r="F30" s="52"/>
      <x:c r="G30" s="52"/>
      <x:c r="H30" s="52"/>
    </x:row>
  </x:sheetData>
  <x:mergeCells>
    <x:mergeCell ref="A1:H1"/>
    <x:mergeCell ref="A3:H3"/>
    <x:mergeCell ref="A5:H5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44" hidden="0" customWidth="1"/>
    <x:col min="4" max="4" width="20" hidden="0" customWidth="1"/>
    <x:col min="5" max="5" width="42" hidden="0" customWidth="1"/>
    <x:col min="6" max="6" width="16" hidden="0" customWidth="1"/>
    <x:col min="7" max="7" width="16" hidden="0" customWidth="1"/>
    <x:col min="8" max="8" width="42" hidden="0" customWidth="1"/>
    <x:col min="9" max="9" width="25" hidden="0" customWidth="1"/>
    <x:col min="10" max="10" width="20" hidden="0" customWidth="1"/>
  </x:cols>
  <x:sheetData>
    <x:row r="1" ht="24" customHeight="1">
      <x:c r="A1" s="6" t="str">
        <x:v>REPORT CARD INDEX — ACTIVE KPI ONLY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  <x:c r="J2" s="52"/>
    </x:row>
    <x:row r="3" ht="26" customHeight="1">
      <x:c r="A3" s="16" t="str">
        <x:v>Only active / applicable KPI are included. Adjusted weight is recalculated from the remaining KPI for the respective role.</x:v>
      </x:c>
      <x:c r="B3" s="52"/>
      <x:c r="C3" s="52"/>
      <x:c r="D3" s="52"/>
      <x:c r="E3" s="52"/>
      <x:c r="F3" s="52"/>
      <x:c r="G3" s="52"/>
      <x:c r="H3" s="52"/>
      <x:c r="I3" s="52"/>
      <x:c r="J3" s="52"/>
    </x:row>
    <x:row r="4">
      <x:c r="A4" s="52"/>
      <x:c r="B4" s="52"/>
      <x:c r="C4" s="52"/>
      <x:c r="D4" s="52"/>
      <x:c r="E4" s="52"/>
      <x:c r="F4" s="52"/>
      <x:c r="G4" s="52"/>
      <x:c r="H4" s="52"/>
      <x:c r="I4" s="52"/>
      <x:c r="J4" s="52"/>
    </x:row>
    <x:row r="5" ht="32" customHeight="1">
      <x:c r="A5" s="36" t="str">
        <x:v>No.</x:v>
      </x:c>
      <x:c r="B5" s="36" t="str">
        <x:v>Department</x:v>
      </x:c>
      <x:c r="C5" s="36" t="str">
        <x:v>Role</x:v>
      </x:c>
      <x:c r="D5" s="36" t="str">
        <x:v>Report Card ID</x:v>
      </x:c>
      <x:c r="E5" s="36" t="str">
        <x:v>KPI / Phase</x:v>
      </x:c>
      <x:c r="F5" s="36" t="str">
        <x:v>Original Weight</x:v>
      </x:c>
      <x:c r="G5" s="36" t="str">
        <x:v>Adjusted Weight</x:v>
      </x:c>
      <x:c r="H5" s="36" t="str">
        <x:v>WI Reference</x:v>
      </x:c>
      <x:c r="I5" s="36" t="str">
        <x:v>Report Sheet</x:v>
      </x:c>
      <x:c r="J5" s="36" t="str">
        <x:v>Current Status</x:v>
      </x:c>
    </x:row>
    <x:row r="6" ht="36" customHeight="1">
      <x:c r="A6" s="16" t="n">
        <x:v>1</x:v>
      </x:c>
      <x:c r="B6" s="16" t="str">
        <x:v>Operations</x:v>
      </x:c>
      <x:c r="C6" s="16" t="str">
        <x:v>KEPALA PRODUKSI / SUPERVISOR PRODUKSI</x:v>
      </x:c>
      <x:c r="D6" s="16" t="str">
        <x:v>RC-KPI-OPS-HEAD-01</x:v>
      </x:c>
      <x:c r="E6" s="16" t="str">
        <x:v>Kendali Proses, Mutu &amp; SOP</x:v>
      </x:c>
      <x:c r="F6" s="68" t="n">
        <x:v>0.3</x:v>
      </x:c>
      <x:c r="G6" s="68" t="n">
        <x:v>0.4615384615384615</x:v>
      </x:c>
      <x:c r="H6" s="16" t="str">
        <x:v>WI-OPS-008, WI-OPS-010, WI-OPS-011, WI-OPS-012
Bukti: briefing log, QC form, defect/rework log.</x:v>
      </x:c>
      <x:c r="I6" s="16" t="str">
        <x:v>RPT OPS Head Prod</x:v>
      </x:c>
      <x:c r="J6" s="16" t="str">
        <x:f>IF('RPT OPS Head Prod'!F22=0,"Waiting for Input",'RPT OPS Head Prod'!F22)</x:f>
        <x:v>Waiting for Input</x:v>
      </x:c>
    </x:row>
    <x:row r="7" ht="36" customHeight="1">
      <x:c r="A7" s="16" t="n">
        <x:v>2</x:v>
      </x:c>
      <x:c r="B7" s="16" t="str">
        <x:v>Operations</x:v>
      </x:c>
      <x:c r="C7" s="16" t="str">
        <x:v>KEPALA PRODUKSI / SUPERVISOR PRODUKSI</x:v>
      </x:c>
      <x:c r="D7" s="16" t="str">
        <x:v>RC-KPI-OPS-HEAD-02</x:v>
      </x:c>
      <x:c r="E7" s="16" t="str">
        <x:v>Kesiapan Mesin &amp; Asset Care</x:v>
      </x:c>
      <x:c r="F7" s="68" t="n">
        <x:v>0.2</x:v>
      </x:c>
      <x:c r="G7" s="68" t="n">
        <x:v>0.3076923076923077</x:v>
      </x:c>
      <x:c r="H7" s="16" t="str">
        <x:v>WI-OPS-007
Bukti: checklist mesin, log servis, laporan kerusakan.</x:v>
      </x:c>
      <x:c r="I7" s="16" t="str">
        <x:v>RPT OPS Head Prod</x:v>
      </x:c>
      <x:c r="J7" s="16" t="str">
        <x:f>IF('RPT OPS Head Prod'!F37=0,"Waiting for Input",'RPT OPS Head Prod'!F37)</x:f>
        <x:v>Waiting for Input</x:v>
      </x:c>
    </x:row>
    <x:row r="8" ht="36" customHeight="1">
      <x:c r="A8" s="16" t="n">
        <x:v>3</x:v>
      </x:c>
      <x:c r="B8" s="16" t="str">
        <x:v>Operations</x:v>
      </x:c>
      <x:c r="C8" s="16" t="str">
        <x:v>KEPALA PRODUKSI / SUPERVISOR PRODUKSI</x:v>
      </x:c>
      <x:c r="D8" s="16" t="str">
        <x:v>RC-KPI-OPS-HEAD-03</x:v>
      </x:c>
      <x:c r="E8" s="16" t="str">
        <x:v>Koordinasi &amp; Continuous Improvement</x:v>
      </x:c>
      <x:c r="F8" s="68" t="n">
        <x:v>0.15</x:v>
      </x:c>
      <x:c r="G8" s="68" t="n">
        <x:v>0.23076923076923075</x:v>
      </x:c>
      <x:c r="H8" s="16" t="str">
        <x:v>WI-OPS-003, WI-OPS-004, WI-OPS-016
Bukti: notulen rapat, action plan, rekap operasional.</x:v>
      </x:c>
      <x:c r="I8" s="16" t="str">
        <x:v>RPT OPS Head Prod</x:v>
      </x:c>
      <x:c r="J8" s="16" t="str">
        <x:f>IF('RPT OPS Head Prod'!F52=0,"Waiting for Input",'RPT OPS Head Prod'!F52)</x:f>
        <x:v>Waiting for Input</x:v>
      </x:c>
    </x:row>
    <x:row r="9" ht="36" customHeight="1">
      <x:c r="A9" s="16" t="n">
        <x:v>4</x:v>
      </x:c>
      <x:c r="B9" s="16" t="str">
        <x:v>Operations</x:v>
      </x:c>
      <x:c r="C9" s="16" t="str">
        <x:v>STAFF / OPERATOR PRODUKSI</x:v>
      </x:c>
      <x:c r="D9" s="16" t="str">
        <x:v>RC-KPI-OPS-OPR-01</x:v>
      </x:c>
      <x:c r="E9" s="16" t="str">
        <x:v>Kepatuhan WO &amp; Pre-Production Check</x:v>
      </x:c>
      <x:c r="F9" s="68" t="n">
        <x:v>0.2</x:v>
      </x:c>
      <x:c r="G9" s="68" t="n">
        <x:v>0.2</x:v>
      </x:c>
      <x:c r="H9" s="16" t="str">
        <x:v>WI-OPS-007
Bukti: WO, pre-check checklist, laporan kendala.</x:v>
      </x:c>
      <x:c r="I9" s="16" t="str">
        <x:v>RPT OPS Operator</x:v>
      </x:c>
      <x:c r="J9" s="16" t="str">
        <x:f>IF('RPT OPS Operator'!F23=0,"Waiting for Input",'RPT OPS Operator'!F23)</x:f>
        <x:v>Waiting for Input</x:v>
      </x:c>
    </x:row>
    <x:row r="10" ht="36" customHeight="1">
      <x:c r="A10" s="16" t="n">
        <x:v>5</x:v>
      </x:c>
      <x:c r="B10" s="16" t="str">
        <x:v>Operations</x:v>
      </x:c>
      <x:c r="C10" s="16" t="str">
        <x:v>STAFF / OPERATOR PRODUKSI</x:v>
      </x:c>
      <x:c r="D10" s="16" t="str">
        <x:v>RC-KPI-OPS-OPR-02</x:v>
      </x:c>
      <x:c r="E10" s="16" t="str">
        <x:v>Output Produksi &amp; Ketepatan Target</x:v>
      </x:c>
      <x:c r="F10" s="68" t="n">
        <x:v>0.4</x:v>
      </x:c>
      <x:c r="G10" s="68" t="n">
        <x:v>0.4</x:v>
      </x:c>
      <x:c r="H10" s="16" t="str">
        <x:v>WI-OPS-008
Bukti: laporan output, WO, catatan batch.</x:v>
      </x:c>
      <x:c r="I10" s="16" t="str">
        <x:v>RPT OPS Operator</x:v>
      </x:c>
      <x:c r="J10" s="16" t="str">
        <x:f>IF('RPT OPS Operator'!F38=0,"Waiting for Input",'RPT OPS Operator'!F38)</x:f>
        <x:v>Waiting for Input</x:v>
      </x:c>
    </x:row>
    <x:row r="11" ht="36" customHeight="1">
      <x:c r="A11" s="16" t="n">
        <x:v>6</x:v>
      </x:c>
      <x:c r="B11" s="16" t="str">
        <x:v>Operations</x:v>
      </x:c>
      <x:c r="C11" s="16" t="str">
        <x:v>STAFF / OPERATOR PRODUKSI</x:v>
      </x:c>
      <x:c r="D11" s="16" t="str">
        <x:v>RC-KPI-OPS-OPR-03</x:v>
      </x:c>
      <x:c r="E11" s="16" t="str">
        <x:v>First-Line QC &amp; Pengendalian Rework</x:v>
      </x:c>
      <x:c r="F11" s="68" t="n">
        <x:v>0.25</x:v>
      </x:c>
      <x:c r="G11" s="68" t="n">
        <x:v>0.25</x:v>
      </x:c>
      <x:c r="H11" s="16" t="str">
        <x:v>WI-OPS-008, WI-OPS-010, WI-OPS-012
Bukti: first-line QC log, defect/rework tag.</x:v>
      </x:c>
      <x:c r="I11" s="16" t="str">
        <x:v>RPT OPS Operator</x:v>
      </x:c>
      <x:c r="J11" s="16" t="str">
        <x:f>IF('RPT OPS Operator'!F53=0,"Waiting for Input",'RPT OPS Operator'!F53)</x:f>
        <x:v>Waiting for Input</x:v>
      </x:c>
    </x:row>
    <x:row r="12" ht="36" customHeight="1">
      <x:c r="A12" s="16" t="n">
        <x:v>7</x:v>
      </x:c>
      <x:c r="B12" s="16" t="str">
        <x:v>Operations</x:v>
      </x:c>
      <x:c r="C12" s="16" t="str">
        <x:v>STAFF / OPERATOR PRODUKSI</x:v>
      </x:c>
      <x:c r="D12" s="16" t="str">
        <x:v>RC-KPI-OPS-OPR-04</x:v>
      </x:c>
      <x:c r="E12" s="16" t="str">
        <x:v>Asset Care, 5S &amp; K3</x:v>
      </x:c>
      <x:c r="F12" s="68" t="n">
        <x:v>0.15</x:v>
      </x:c>
      <x:c r="G12" s="68" t="n">
        <x:v>0.15</x:v>
      </x:c>
      <x:c r="H12" s="16" t="str">
        <x:v>WI-OPS-007, WI-OPS-009
Bukti: checklist 5S, log pembersihan, laporan kerusakan.</x:v>
      </x:c>
      <x:c r="I12" s="16" t="str">
        <x:v>RPT OPS Operator</x:v>
      </x:c>
      <x:c r="J12" s="16" t="str">
        <x:f>IF('RPT OPS Operator'!F68=0,"Waiting for Input",'RPT OPS Operator'!F68)</x:f>
        <x:v>Waiting for Input</x:v>
      </x:c>
    </x:row>
    <x:row r="13" ht="36" customHeight="1">
      <x:c r="A13" s="16" t="n">
        <x:v>8</x:v>
      </x:c>
      <x:c r="B13" s="16" t="str">
        <x:v>Operations</x:v>
      </x:c>
      <x:c r="C13" s="16" t="str">
        <x:v>STAFF QUALITY CONTROL (QC) &amp; ASSURANCE</x:v>
      </x:c>
      <x:c r="D13" s="16" t="str">
        <x:v>RC-KPI-OPS-QC-01</x:v>
      </x:c>
      <x:c r="E13" s="16" t="str">
        <x:v>Final QC &amp; Kelengkapan Inspeksi</x:v>
      </x:c>
      <x:c r="F13" s="68" t="n">
        <x:v>0.4</x:v>
      </x:c>
      <x:c r="G13" s="68" t="n">
        <x:v>0.4</x:v>
      </x:c>
      <x:c r="H13" s="16" t="str">
        <x:v>WI-OPS-011
Bukti: QC form, label Lolos QC, foto sampling.</x:v>
      </x:c>
      <x:c r="I13" s="16" t="str">
        <x:v>RPT OPS QC</x:v>
      </x:c>
      <x:c r="J13" s="16" t="str">
        <x:f>IF('RPT OPS QC'!F23=0,"Waiting for Input",'RPT OPS QC'!F23)</x:f>
        <x:v>Waiting for Input</x:v>
      </x:c>
    </x:row>
    <x:row r="14" ht="36" customHeight="1">
      <x:c r="A14" s="16" t="n">
        <x:v>9</x:v>
      </x:c>
      <x:c r="B14" s="16" t="str">
        <x:v>Operations</x:v>
      </x:c>
      <x:c r="C14" s="16" t="str">
        <x:v>STAFF QUALITY CONTROL (QC) &amp; ASSURANCE</x:v>
      </x:c>
      <x:c r="D14" s="16" t="str">
        <x:v>RC-KPI-OPS-QC-02</x:v>
      </x:c>
      <x:c r="E14" s="16" t="str">
        <x:v>Defect Log &amp; Rework Closure</x:v>
      </x:c>
      <x:c r="F14" s="68" t="n">
        <x:v>0.35</x:v>
      </x:c>
      <x:c r="G14" s="68" t="n">
        <x:v>0.35</x:v>
      </x:c>
      <x:c r="H14" s="16" t="str">
        <x:v>WI-OPS-012
Bukti: defect log, instruksi rework, hasil recheck.</x:v>
      </x:c>
      <x:c r="I14" s="16" t="str">
        <x:v>RPT OPS QC</x:v>
      </x:c>
      <x:c r="J14" s="16" t="str">
        <x:f>IF('RPT OPS QC'!F38=0,"Waiting for Input",'RPT OPS QC'!F38)</x:f>
        <x:v>Waiting for Input</x:v>
      </x:c>
    </x:row>
    <x:row r="15" ht="36" customHeight="1">
      <x:c r="A15" s="16" t="n">
        <x:v>10</x:v>
      </x:c>
      <x:c r="B15" s="16" t="str">
        <x:v>Operations</x:v>
      </x:c>
      <x:c r="C15" s="16" t="str">
        <x:v>STAFF QUALITY CONTROL (QC) &amp; ASSURANCE</x:v>
      </x:c>
      <x:c r="D15" s="16" t="str">
        <x:v>RC-KPI-OPS-QC-03</x:v>
      </x:c>
      <x:c r="E15" s="16" t="str">
        <x:v>Akurasi Handover ke Gudang/Logistik</x:v>
      </x:c>
      <x:c r="F15" s="68" t="n">
        <x:v>0.15</x:v>
      </x:c>
      <x:c r="G15" s="68" t="n">
        <x:v>0.15</x:v>
      </x:c>
      <x:c r="H15" s="16" t="str">
        <x:v>WI-OPS-011, WI-OPS-013
Bukti: handover log, update Admin Ops, foto staging.</x:v>
      </x:c>
      <x:c r="I15" s="16" t="str">
        <x:v>RPT OPS QC</x:v>
      </x:c>
      <x:c r="J15" s="16" t="str">
        <x:f>IF('RPT OPS QC'!F53=0,"Waiting for Input",'RPT OPS QC'!F53)</x:f>
        <x:v>Waiting for Input</x:v>
      </x:c>
    </x:row>
    <x:row r="16" ht="36" customHeight="1">
      <x:c r="A16" s="16" t="n">
        <x:v>11</x:v>
      </x:c>
      <x:c r="B16" s="16" t="str">
        <x:v>Operations</x:v>
      </x:c>
      <x:c r="C16" s="16" t="str">
        <x:v>STAFF QUALITY CONTROL (QC) &amp; ASSURANCE</x:v>
      </x:c>
      <x:c r="D16" s="16" t="str">
        <x:v>RC-KPI-OPS-QC-04</x:v>
      </x:c>
      <x:c r="E16" s="16" t="str">
        <x:v>Analisis Mutu &amp; Perbaikan</x:v>
      </x:c>
      <x:c r="F16" s="68" t="n">
        <x:v>0.1</x:v>
      </x:c>
      <x:c r="G16" s="68" t="n">
        <x:v>0.1</x:v>
      </x:c>
      <x:c r="H16" s="16" t="str">
        <x:v>WI-OPS-012
Bukti: rekap defect, notulen review QC.</x:v>
      </x:c>
      <x:c r="I16" s="16" t="str">
        <x:v>RPT OPS QC</x:v>
      </x:c>
      <x:c r="J16" s="16" t="str">
        <x:f>IF('RPT OPS QC'!F67=0,"Waiting for Input",'RPT OPS QC'!F67)</x:f>
        <x:v>Waiting for Input</x:v>
      </x:c>
    </x:row>
    <x:row r="17" ht="36" customHeight="1">
      <x:c r="A17" s="16" t="n">
        <x:v>12</x:v>
      </x:c>
      <x:c r="B17" s="16" t="str">
        <x:v>Operations</x:v>
      </x:c>
      <x:c r="C17" s="16" t="str">
        <x:v>STAFF GUDANG &amp; SOURCING</x:v>
      </x:c>
      <x:c r="D17" s="16" t="str">
        <x:v>RC-KPI-OPS-WHS-01</x:v>
      </x:c>
      <x:c r="E17" s="16" t="str">
        <x:v>Akurasi Stok &amp; Kesiapan Bahan</x:v>
      </x:c>
      <x:c r="F17" s="68" t="n">
        <x:v>0.4</x:v>
      </x:c>
      <x:c r="G17" s="68" t="n">
        <x:v>0.4</x:v>
      </x:c>
      <x:c r="H17" s="16" t="str">
        <x:v>WI-OPS-005, WI-OPS-006
Bukti: kartu stok, stock opname, form bahan keluar.</x:v>
      </x:c>
      <x:c r="I17" s="16" t="str">
        <x:v>RPT OPS Gudang</x:v>
      </x:c>
      <x:c r="J17" s="16" t="str">
        <x:f>IF('RPT OPS Gudang'!F23=0,"Waiting for Input",'RPT OPS Gudang'!F23)</x:f>
        <x:v>Waiting for Input</x:v>
      </x:c>
    </x:row>
    <x:row r="18" ht="36" customHeight="1">
      <x:c r="A18" s="16" t="n">
        <x:v>13</x:v>
      </x:c>
      <x:c r="B18" s="16" t="str">
        <x:v>Operations</x:v>
      </x:c>
      <x:c r="C18" s="16" t="str">
        <x:v>STAFF GUDANG &amp; SOURCING</x:v>
      </x:c>
      <x:c r="D18" s="16" t="str">
        <x:v>RC-KPI-OPS-WHS-02</x:v>
      </x:c>
      <x:c r="E18" s="16" t="str">
        <x:v>Sourcing &amp; Penerimaan Bahan</x:v>
      </x:c>
      <x:c r="F18" s="68" t="n">
        <x:v>0.3</x:v>
      </x:c>
      <x:c r="G18" s="68" t="n">
        <x:v>0.3</x:v>
      </x:c>
      <x:c r="H18" s="16" t="str">
        <x:v>WI-OPS-006
Bukti: PO/permintaan pembelian, checklist inbound, catatan supplier.</x:v>
      </x:c>
      <x:c r="I18" s="16" t="str">
        <x:v>RPT OPS Gudang</x:v>
      </x:c>
      <x:c r="J18" s="16" t="str">
        <x:f>IF('RPT OPS Gudang'!F38=0,"Waiting for Input",'RPT OPS Gudang'!F38)</x:f>
        <x:v>Waiting for Input</x:v>
      </x:c>
    </x:row>
    <x:row r="19" ht="36" customHeight="1">
      <x:c r="A19" s="16" t="n">
        <x:v>14</x:v>
      </x:c>
      <x:c r="B19" s="16" t="str">
        <x:v>Operations</x:v>
      </x:c>
      <x:c r="C19" s="16" t="str">
        <x:v>STAFF GUDANG &amp; SOURCING</x:v>
      </x:c>
      <x:c r="D19" s="16" t="str">
        <x:v>RC-KPI-OPS-WHS-03</x:v>
      </x:c>
      <x:c r="E19" s="16" t="str">
        <x:v>Staging Barang Jadi &amp; Handover</x:v>
      </x:c>
      <x:c r="F19" s="68" t="n">
        <x:v>0.2</x:v>
      </x:c>
      <x:c r="G19" s="68" t="n">
        <x:v>0.2</x:v>
      </x:c>
      <x:c r="H19" s="16" t="str">
        <x:v>WI-OPS-013
Bukti: staging log, label area, handover list.</x:v>
      </x:c>
      <x:c r="I19" s="16" t="str">
        <x:v>RPT OPS Gudang</x:v>
      </x:c>
      <x:c r="J19" s="16" t="str">
        <x:f>IF('RPT OPS Gudang'!F53=0,"Waiting for Input",'RPT OPS Gudang'!F53)</x:f>
        <x:v>Waiting for Input</x:v>
      </x:c>
    </x:row>
    <x:row r="20" ht="36" customHeight="1">
      <x:c r="A20" s="16" t="n">
        <x:v>15</x:v>
      </x:c>
      <x:c r="B20" s="16" t="str">
        <x:v>Operations</x:v>
      </x:c>
      <x:c r="C20" s="16" t="str">
        <x:v>STAFF GUDANG &amp; SOURCING</x:v>
      </x:c>
      <x:c r="D20" s="16" t="str">
        <x:v>RC-KPI-OPS-WHS-04</x:v>
      </x:c>
      <x:c r="E20" s="16" t="str">
        <x:v>Early Warning Stok Kritis</x:v>
      </x:c>
      <x:c r="F20" s="68" t="n">
        <x:v>0.1</x:v>
      </x:c>
      <x:c r="G20" s="68" t="n">
        <x:v>0.1</x:v>
      </x:c>
      <x:c r="H20" s="16" t="str">
        <x:v>WI-OPS-005, WI-OPS-006
Bukti: notifikasi reorder, daftar stok kritis.</x:v>
      </x:c>
      <x:c r="I20" s="16" t="str">
        <x:v>RPT OPS Gudang</x:v>
      </x:c>
      <x:c r="J20" s="16" t="str">
        <x:f>IF('RPT OPS Gudang'!F67=0,"Waiting for Input",'RPT OPS Gudang'!F67)</x:f>
        <x:v>Waiting for Input</x:v>
      </x:c>
    </x:row>
    <x:row r="21" ht="36" customHeight="1">
      <x:c r="A21" s="16" t="n">
        <x:v>16</x:v>
      </x:c>
      <x:c r="B21" s="16" t="str">
        <x:v>Operations</x:v>
      </x:c>
      <x:c r="C21" s="16" t="str">
        <x:v>STAFF LOGISTIK &amp; PENGEMASAN</x:v>
      </x:c>
      <x:c r="D21" s="16" t="str">
        <x:v>RC-KPI-OPS-LOG-01</x:v>
      </x:c>
      <x:c r="E21" s="16" t="str">
        <x:v>Akurasi &amp; Keamanan Packing</x:v>
      </x:c>
      <x:c r="F21" s="68" t="n">
        <x:v>0.4</x:v>
      </x:c>
      <x:c r="G21" s="68" t="n">
        <x:v>0.4</x:v>
      </x:c>
      <x:c r="H21" s="16" t="str">
        <x:v>WI-OPS-015
Bukti: packing checklist, foto paket, resi/surat jalan.</x:v>
      </x:c>
      <x:c r="I21" s="16" t="str">
        <x:v>RPT OPS Logistik</x:v>
      </x:c>
      <x:c r="J21" s="16" t="str">
        <x:f>IF('RPT OPS Logistik'!F23=0,"Waiting for Input",'RPT OPS Logistik'!F23)</x:f>
        <x:v>Waiting for Input</x:v>
      </x:c>
    </x:row>
    <x:row r="22" ht="36" customHeight="1">
      <x:c r="A22" s="16" t="n">
        <x:v>17</x:v>
      </x:c>
      <x:c r="B22" s="16" t="str">
        <x:v>Operations</x:v>
      </x:c>
      <x:c r="C22" s="16" t="str">
        <x:v>STAFF LOGISTIK &amp; PENGEMASAN</x:v>
      </x:c>
      <x:c r="D22" s="16" t="str">
        <x:v>RC-KPI-OPS-LOG-02</x:v>
      </x:c>
      <x:c r="E22" s="16" t="str">
        <x:v>Pickup &amp; Manifest Tepat Waktu</x:v>
      </x:c>
      <x:c r="F22" s="68" t="n">
        <x:v>0.25</x:v>
      </x:c>
      <x:c r="G22" s="68" t="n">
        <x:v>0.25</x:v>
      </x:c>
      <x:c r="H22" s="16" t="str">
        <x:v>WI-OPS-015
Bukti: booking pickup, manifest, laporan paket tertinggal.</x:v>
      </x:c>
      <x:c r="I22" s="16" t="str">
        <x:v>RPT OPS Logistik</x:v>
      </x:c>
      <x:c r="J22" s="16" t="str">
        <x:f>IF('RPT OPS Logistik'!F38=0,"Waiting for Input",'RPT OPS Logistik'!F38)</x:f>
        <x:v>Waiting for Input</x:v>
      </x:c>
    </x:row>
    <x:row r="23" ht="36" customHeight="1">
      <x:c r="A23" s="16" t="n">
        <x:v>18</x:v>
      </x:c>
      <x:c r="B23" s="16" t="str">
        <x:v>Operations</x:v>
      </x:c>
      <x:c r="C23" s="16" t="str">
        <x:v>STAFF LOGISTIK &amp; PENGEMASAN</x:v>
      </x:c>
      <x:c r="D23" s="16" t="str">
        <x:v>RC-KPI-OPS-LOG-03</x:v>
      </x:c>
      <x:c r="E23" s="16" t="str">
        <x:v>Delivery Tracking &amp; Penanganan Kendala</x:v>
      </x:c>
      <x:c r="F23" s="68" t="n">
        <x:v>0.25</x:v>
      </x:c>
      <x:c r="G23" s="68" t="n">
        <x:v>0.25</x:v>
      </x:c>
      <x:c r="H23" s="16" t="str">
        <x:v>WI-OPS-015
Bukti: tracker ekspedisi, tiket CS ekspedisi, log eskalasi.</x:v>
      </x:c>
      <x:c r="I23" s="16" t="str">
        <x:v>RPT OPS Logistik</x:v>
      </x:c>
      <x:c r="J23" s="16" t="str">
        <x:f>IF('RPT OPS Logistik'!F53=0,"Waiting for Input",'RPT OPS Logistik'!F53)</x:f>
        <x:v>Waiting for Input</x:v>
      </x:c>
    </x:row>
    <x:row r="24" ht="36" customHeight="1">
      <x:c r="A24" s="16" t="n">
        <x:v>19</x:v>
      </x:c>
      <x:c r="B24" s="16" t="str">
        <x:v>Operations</x:v>
      </x:c>
      <x:c r="C24" s="16" t="str">
        <x:v>STAFF LOGISTIK &amp; PENGEMASAN</x:v>
      </x:c>
      <x:c r="D24" s="16" t="str">
        <x:v>RC-KPI-OPS-LOG-04</x:v>
      </x:c>
      <x:c r="E24" s="16" t="str">
        <x:v>Dokumentasi Pengiriman</x:v>
      </x:c>
      <x:c r="F24" s="68" t="n">
        <x:v>0.1</x:v>
      </x:c>
      <x:c r="G24" s="68" t="n">
        <x:v>0.1</x:v>
      </x:c>
      <x:c r="H24" s="16" t="str">
        <x:v>WI-OPS-014, WI-OPS-015
Bukti: folder resi, manifest, tracker order.</x:v>
      </x:c>
      <x:c r="I24" s="16" t="str">
        <x:v>RPT OPS Logistik</x:v>
      </x:c>
      <x:c r="J24" s="16" t="str">
        <x:f>IF('RPT OPS Logistik'!F67=0,"Waiting for Input",'RPT OPS Logistik'!F67)</x:f>
        <x:v>Waiting for Input</x:v>
      </x:c>
    </x:row>
    <x:row r="25" ht="36" customHeight="1">
      <x:c r="A25" s="16" t="n">
        <x:v>20</x:v>
      </x:c>
      <x:c r="B25" s="16" t="str">
        <x:v>Operations</x:v>
      </x:c>
      <x:c r="C25" s="16" t="str">
        <x:v>ADMIN OPERATIONS</x:v>
      </x:c>
      <x:c r="D25" s="16" t="str">
        <x:v>RC-KPI-OPS-ADM-01</x:v>
      </x:c>
      <x:c r="E25" s="16" t="str">
        <x:v>Validasi Order &amp; Akurasi Work Order</x:v>
      </x:c>
      <x:c r="F25" s="68" t="n">
        <x:v>0.4</x:v>
      </x:c>
      <x:c r="G25" s="68" t="n">
        <x:v>0.4</x:v>
      </x:c>
      <x:c r="H25" s="16" t="str">
        <x:v>WI-OPS-001, WI-OPS-002
Bukti: checklist order, WO, folder/link order.</x:v>
      </x:c>
      <x:c r="I25" s="16" t="str">
        <x:v>RPT OPS Admin Ops</x:v>
      </x:c>
      <x:c r="J25" s="16" t="str">
        <x:f>IF('RPT OPS Admin Ops'!F23=0,"Waiting for Input",'RPT OPS Admin Ops'!F23)</x:f>
        <x:v>Waiting for Input</x:v>
      </x:c>
    </x:row>
    <x:row r="26" ht="36" customHeight="1">
      <x:c r="A26" s="16" t="n">
        <x:v>21</x:v>
      </x:c>
      <x:c r="B26" s="16" t="str">
        <x:v>Operations</x:v>
      </x:c>
      <x:c r="C26" s="16" t="str">
        <x:v>ADMIN OPERATIONS</x:v>
      </x:c>
      <x:c r="D26" s="16" t="str">
        <x:v>RC-KPI-OPS-ADM-02</x:v>
      </x:c>
      <x:c r="E26" s="16" t="str">
        <x:v>Data Produksi, Reject &amp; Material</x:v>
      </x:c>
      <x:c r="F26" s="68" t="n">
        <x:v>0.3</x:v>
      </x:c>
      <x:c r="G26" s="68" t="n">
        <x:v>0.3</x:v>
      </x:c>
      <x:c r="H26" s="16" t="str">
        <x:v>WI-OPS-016
Bukti: rekap produksi, defect log, pemakaian bahan, laporan mingguan.</x:v>
      </x:c>
      <x:c r="I26" s="16" t="str">
        <x:v>RPT OPS Admin Ops</x:v>
      </x:c>
      <x:c r="J26" s="16" t="str">
        <x:f>IF('RPT OPS Admin Ops'!F38=0,"Waiting for Input",'RPT OPS Admin Ops'!F38)</x:f>
        <x:v>Waiting for Input</x:v>
      </x:c>
    </x:row>
    <x:row r="27" ht="36" customHeight="1">
      <x:c r="A27" s="16" t="n">
        <x:v>22</x:v>
      </x:c>
      <x:c r="B27" s="16" t="str">
        <x:v>Operations</x:v>
      </x:c>
      <x:c r="C27" s="16" t="str">
        <x:v>ADMIN OPERATIONS</x:v>
      </x:c>
      <x:c r="D27" s="16" t="str">
        <x:v>RC-KPI-OPS-ADM-03</x:v>
      </x:c>
      <x:c r="E27" s="16" t="str">
        <x:v>Dokumen Pengiriman</x:v>
      </x:c>
      <x:c r="F27" s="68" t="n">
        <x:v>0.2</x:v>
      </x:c>
      <x:c r="G27" s="68" t="n">
        <x:v>0.2</x:v>
      </x:c>
      <x:c r="H27" s="16" t="str">
        <x:v>WI-OPS-014
Bukti: resi, surat jalan, packing list, log revisi.</x:v>
      </x:c>
      <x:c r="I27" s="16" t="str">
        <x:v>RPT OPS Admin Ops</x:v>
      </x:c>
      <x:c r="J27" s="16" t="str">
        <x:f>IF('RPT OPS Admin Ops'!F52=0,"Waiting for Input",'RPT OPS Admin Ops'!F52)</x:f>
        <x:v>Waiting for Input</x:v>
      </x:c>
    </x:row>
    <x:row r="28" ht="36" customHeight="1">
      <x:c r="A28" s="16" t="n">
        <x:v>23</x:v>
      </x:c>
      <x:c r="B28" s="16" t="str">
        <x:v>Operations</x:v>
      </x:c>
      <x:c r="C28" s="16" t="str">
        <x:v>ADMIN OPERATIONS</x:v>
      </x:c>
      <x:c r="D28" s="16" t="str">
        <x:v>RC-KPI-OPS-ADM-04</x:v>
      </x:c>
      <x:c r="E28" s="16" t="str">
        <x:v>Koordinasi Status Order &amp; Pelaporan</x:v>
      </x:c>
      <x:c r="F28" s="68" t="n">
        <x:v>0.1</x:v>
      </x:c>
      <x:c r="G28" s="68" t="n">
        <x:v>0.1</x:v>
      </x:c>
      <x:c r="H28" s="16" t="str">
        <x:v>WI-OPS-003, WI-OPS-016
Bukti: tracker order, notulen/rekap, bukti update lintas divisi.</x:v>
      </x:c>
      <x:c r="I28" s="16" t="str">
        <x:v>RPT OPS Admin Ops</x:v>
      </x:c>
      <x:c r="J28" s="16" t="str">
        <x:f>IF('RPT OPS Admin Ops'!F67=0,"Waiting for Input",'RPT OPS Admin Ops'!F67)</x:f>
        <x:v>Waiting for Input</x:v>
      </x:c>
    </x:row>
    <x:row r="29" ht="36" customHeight="1">
      <x:c r="A29" s="16" t="n">
        <x:v>24</x:v>
      </x:c>
      <x:c r="B29" s="16" t="str">
        <x:v>Operations</x:v>
      </x:c>
      <x:c r="C29" s="16" t="str">
        <x:v>HELPER PRODUKSI</x:v>
      </x:c>
      <x:c r="D29" s="16" t="str">
        <x:v>RC-KPI-OPS-HLP-01</x:v>
      </x:c>
      <x:c r="E29" s="16" t="str">
        <x:v>Dukungan Material &amp; Transfer WIP</x:v>
      </x:c>
      <x:c r="F29" s="68" t="n">
        <x:v>0.35</x:v>
      </x:c>
      <x:c r="G29" s="68" t="n">
        <x:v>0.35</x:v>
      </x:c>
      <x:c r="H29" s="16" t="str">
        <x:v>WI-OPS-009
Bukti: checklist support, tag batch, catatan bottleneck.</x:v>
      </x:c>
      <x:c r="I29" s="16" t="str">
        <x:v>RPT OPS Helper</x:v>
      </x:c>
      <x:c r="J29" s="16" t="str">
        <x:f>IF('RPT OPS Helper'!F22=0,"Waiting for Input",'RPT OPS Helper'!F22)</x:f>
        <x:v>Waiting for Input</x:v>
      </x:c>
    </x:row>
    <x:row r="30" ht="36" customHeight="1">
      <x:c r="A30" s="16" t="n">
        <x:v>25</x:v>
      </x:c>
      <x:c r="B30" s="16" t="str">
        <x:v>Operations</x:v>
      </x:c>
      <x:c r="C30" s="16" t="str">
        <x:v>HELPER PRODUKSI</x:v>
      </x:c>
      <x:c r="D30" s="16" t="str">
        <x:v>RC-KPI-OPS-HLP-02</x:v>
      </x:c>
      <x:c r="E30" s="16" t="str">
        <x:v>Trimming, Cutting Pendukung &amp; Quality Check</x:v>
      </x:c>
      <x:c r="F30" s="68" t="n">
        <x:v>0.35</x:v>
      </x:c>
      <x:c r="G30" s="68" t="n">
        <x:v>0.35</x:v>
      </x:c>
      <x:c r="H30" s="16" t="str">
        <x:v>WI-OPS-009, WI-OPS-010
Bukti: area revisi, catatan handover, observasi Supervisor.</x:v>
      </x:c>
      <x:c r="I30" s="16" t="str">
        <x:v>RPT OPS Helper</x:v>
      </x:c>
      <x:c r="J30" s="16" t="str">
        <x:f>IF('RPT OPS Helper'!F37=0,"Waiting for Input",'RPT OPS Helper'!F37)</x:f>
        <x:v>Waiting for Input</x:v>
      </x:c>
    </x:row>
    <x:row r="31" ht="36" customHeight="1">
      <x:c r="A31" s="16" t="n">
        <x:v>26</x:v>
      </x:c>
      <x:c r="B31" s="16" t="str">
        <x:v>Operations</x:v>
      </x:c>
      <x:c r="C31" s="16" t="str">
        <x:v>HELPER PRODUKSI</x:v>
      </x:c>
      <x:c r="D31" s="16" t="str">
        <x:v>RC-KPI-OPS-HLP-03</x:v>
      </x:c>
      <x:c r="E31" s="16" t="str">
        <x:v>5S, Kebersihan &amp; Penataan Alat</x:v>
      </x:c>
      <x:c r="F31" s="68" t="n">
        <x:v>0.3</x:v>
      </x:c>
      <x:c r="G31" s="68" t="n">
        <x:v>0.3</x:v>
      </x:c>
      <x:c r="H31" s="16" t="str">
        <x:v>WI-OPS-009
Bukti: checklist 5S, foto area, catatan temuan.</x:v>
      </x:c>
      <x:c r="I31" s="16" t="str">
        <x:v>RPT OPS Helper</x:v>
      </x:c>
      <x:c r="J31" s="16" t="str">
        <x:f>IF('RPT OPS Helper'!F52=0,"Waiting for Input",'RPT OPS Helper'!F52)</x:f>
        <x:v>Waiting for Input</x:v>
      </x:c>
    </x:row>
    <x:row r="32" ht="36" customHeight="1">
      <x:c r="A32" s="16" t="n">
        <x:v>27</x:v>
      </x:c>
      <x:c r="B32" s="16" t="str">
        <x:v>Sales &amp; Marketing</x:v>
      </x:c>
      <x:c r="C32" s="16" t="str">
        <x:v>KEPALA SALES &amp; MARKETING</x:v>
      </x:c>
      <x:c r="D32" s="16" t="str">
        <x:v>RC-KPI-SM-HEAD-01</x:v>
      </x:c>
      <x:c r="E32" s="16" t="str">
        <x:v>Pencapaian Target Komersial &amp; Pipeline</x:v>
      </x:c>
      <x:c r="F32" s="68" t="n">
        <x:v>0.35</x:v>
      </x:c>
      <x:c r="G32" s="68" t="n">
        <x:v>0.35</x:v>
      </x:c>
      <x:c r="H32" s="16" t="str">
        <x:v>WI-SM-014
Bukti: sales pipeline, rekap omzet/leads, action plan.</x:v>
      </x:c>
      <x:c r="I32" s="16" t="str">
        <x:v>RPT SM Head</x:v>
      </x:c>
      <x:c r="J32" s="16" t="str">
        <x:f>IF('RPT SM Head'!F23=0,"Waiting for Input",'RPT SM Head'!F23)</x:f>
        <x:v>Waiting for Input</x:v>
      </x:c>
    </x:row>
    <x:row r="33" ht="36" customHeight="1">
      <x:c r="A33" s="16" t="n">
        <x:v>28</x:v>
      </x:c>
      <x:c r="B33" s="16" t="str">
        <x:v>Sales &amp; Marketing</x:v>
      </x:c>
      <x:c r="C33" s="16" t="str">
        <x:v>KEPALA SALES &amp; MARKETING</x:v>
      </x:c>
      <x:c r="D33" s="16" t="str">
        <x:v>RC-KPI-SM-HEAD-02</x:v>
      </x:c>
      <x:c r="E33" s="16" t="str">
        <x:v>Strategi Campaign &amp; Pemasaran Digital</x:v>
      </x:c>
      <x:c r="F33" s="68" t="n">
        <x:v>0.25</x:v>
      </x:c>
      <x:c r="G33" s="68" t="n">
        <x:v>0.25</x:v>
      </x:c>
      <x:c r="H33" s="16" t="str">
        <x:v>WI-SM-002, WI-SM-004, WI-SM-014
Bukti: campaign plan, laporan ads, evaluasi campaign.</x:v>
      </x:c>
      <x:c r="I33" s="16" t="str">
        <x:v>RPT SM Head</x:v>
      </x:c>
      <x:c r="J33" s="16" t="str">
        <x:f>IF('RPT SM Head'!F38=0,"Waiting for Input",'RPT SM Head'!F38)</x:f>
        <x:v>Waiting for Input</x:v>
      </x:c>
    </x:row>
    <x:row r="34" ht="36" customHeight="1">
      <x:c r="A34" s="16" t="n">
        <x:v>29</x:v>
      </x:c>
      <x:c r="B34" s="16" t="str">
        <x:v>Sales &amp; Marketing</x:v>
      </x:c>
      <x:c r="C34" s="16" t="str">
        <x:v>KEPALA SALES &amp; MARKETING</x:v>
      </x:c>
      <x:c r="D34" s="16" t="str">
        <x:v>RC-KPI-SM-HEAD-03</x:v>
      </x:c>
      <x:c r="E34" s="16" t="str">
        <x:v>Sinkronisasi Order ke Operations</x:v>
      </x:c>
      <x:c r="F34" s="68" t="n">
        <x:v>0.25</x:v>
      </x:c>
      <x:c r="G34" s="68" t="n">
        <x:v>0.25</x:v>
      </x:c>
      <x:c r="H34" s="16" t="str">
        <x:v>WI-SM-008, WI-SM-009, WI-SM-014
Bukti: form order, tracker handover, notulen kapasitas.</x:v>
      </x:c>
      <x:c r="I34" s="16" t="str">
        <x:v>RPT SM Head</x:v>
      </x:c>
      <x:c r="J34" s="16" t="str">
        <x:f>IF('RPT SM Head'!F53=0,"Waiting for Input",'RPT SM Head'!F53)</x:f>
        <x:v>Waiting for Input</x:v>
      </x:c>
    </x:row>
    <x:row r="35" ht="36" customHeight="1">
      <x:c r="A35" s="16" t="n">
        <x:v>30</x:v>
      </x:c>
      <x:c r="B35" s="16" t="str">
        <x:v>Sales &amp; Marketing</x:v>
      </x:c>
      <x:c r="C35" s="16" t="str">
        <x:v>KEPALA SALES &amp; MARKETING</x:v>
      </x:c>
      <x:c r="D35" s="16" t="str">
        <x:v>RC-KPI-SM-HEAD-04</x:v>
      </x:c>
      <x:c r="E35" s="16" t="str">
        <x:v>Manajemen Tim &amp; Pelaporan KPI</x:v>
      </x:c>
      <x:c r="F35" s="68" t="n">
        <x:v>0.15</x:v>
      </x:c>
      <x:c r="G35" s="68" t="n">
        <x:v>0.15</x:v>
      </x:c>
      <x:c r="H35" s="16" t="str">
        <x:v>WI-SM-014
Bukti: notulen, scorecard tim, laporan KPI bulanan.</x:v>
      </x:c>
      <x:c r="I35" s="16" t="str">
        <x:v>RPT SM Head</x:v>
      </x:c>
      <x:c r="J35" s="16" t="str">
        <x:f>IF('RPT SM Head'!F68=0,"Waiting for Input",'RPT SM Head'!F68)</x:f>
        <x:v>Waiting for Input</x:v>
      </x:c>
    </x:row>
    <x:row r="36" ht="36" customHeight="1">
      <x:c r="A36" s="16" t="n">
        <x:v>31</x:v>
      </x:c>
      <x:c r="B36" s="16" t="str">
        <x:v>Sales &amp; Marketing</x:v>
      </x:c>
      <x:c r="C36" s="16" t="str">
        <x:v>STAFF MARKETING</x:v>
      </x:c>
      <x:c r="D36" s="16" t="str">
        <x:v>RC-KPI-SM-MKT-01</x:v>
      </x:c>
      <x:c r="E36" s="16" t="str">
        <x:v>Etalase Digital, Konten &amp; SEO</x:v>
      </x:c>
      <x:c r="F36" s="68" t="n">
        <x:v>0.35</x:v>
      </x:c>
      <x:c r="G36" s="68" t="n">
        <x:v>0.5</x:v>
      </x:c>
      <x:c r="H36" s="16" t="str">
        <x:v>WI-SM-003
Bukti: content calendar, link konten, audit etalase, keyword list.</x:v>
      </x:c>
      <x:c r="I36" s="16" t="str">
        <x:v>RPT SM Marketing</x:v>
      </x:c>
      <x:c r="J36" s="16" t="str">
        <x:f>IF('RPT SM Marketing'!F22=0,"Waiting for Input",'RPT SM Marketing'!F22)</x:f>
        <x:v>Waiting for Input</x:v>
      </x:c>
    </x:row>
    <x:row r="37" ht="36" customHeight="1">
      <x:c r="A37" s="16" t="n">
        <x:v>32</x:v>
      </x:c>
      <x:c r="B37" s="16" t="str">
        <x:v>Sales &amp; Marketing</x:v>
      </x:c>
      <x:c r="C37" s="16" t="str">
        <x:v>STAFF MARKETING</x:v>
      </x:c>
      <x:c r="D37" s="16" t="str">
        <x:v>RC-KPI-SM-MKT-02</x:v>
      </x:c>
      <x:c r="E37" s="16" t="str">
        <x:v>Lead Capture &amp; Hand-off</x:v>
      </x:c>
      <x:c r="F37" s="68" t="n">
        <x:v>0.2</x:v>
      </x:c>
      <x:c r="G37" s="68" t="n">
        <x:v>0.28571428571428575</x:v>
      </x:c>
      <x:c r="H37" s="16" t="str">
        <x:v>WI-SM-005
Bukti: CRM/leads list, timestamp hand-off, update status.</x:v>
      </x:c>
      <x:c r="I37" s="16" t="str">
        <x:v>RPT SM Marketing</x:v>
      </x:c>
      <x:c r="J37" s="16" t="str">
        <x:f>IF('RPT SM Marketing'!F37=0,"Waiting for Input",'RPT SM Marketing'!F37)</x:f>
        <x:v>Waiting for Input</x:v>
      </x:c>
    </x:row>
    <x:row r="38" ht="36" customHeight="1">
      <x:c r="A38" s="16" t="n">
        <x:v>33</x:v>
      </x:c>
      <x:c r="B38" s="16" t="str">
        <x:v>Sales &amp; Marketing</x:v>
      </x:c>
      <x:c r="C38" s="16" t="str">
        <x:v>STAFF MARKETING</x:v>
      </x:c>
      <x:c r="D38" s="16" t="str">
        <x:v>RC-KPI-SM-MKT-03</x:v>
      </x:c>
      <x:c r="E38" s="16" t="str">
        <x:v>Riset Pasar &amp; Insight</x:v>
      </x:c>
      <x:c r="F38" s="68" t="n">
        <x:v>0.15</x:v>
      </x:c>
      <x:c r="G38" s="68" t="n">
        <x:v>0.2142857142857143</x:v>
      </x:c>
      <x:c r="H38" s="16" t="str">
        <x:v>WI-SM-001, WI-SM-012
Bukti: laporan riset, handover R&amp;D, rekap analitik.</x:v>
      </x:c>
      <x:c r="I38" s="16" t="str">
        <x:v>RPT SM Marketing</x:v>
      </x:c>
      <x:c r="J38" s="16" t="str">
        <x:f>IF('RPT SM Marketing'!F52=0,"Waiting for Input",'RPT SM Marketing'!F52)</x:f>
        <x:v>Waiting for Input</x:v>
      </x:c>
    </x:row>
    <x:row r="39" ht="36" customHeight="1">
      <x:c r="A39" s="16" t="n">
        <x:v>34</x:v>
      </x:c>
      <x:c r="B39" s="16" t="str">
        <x:v>Sales &amp; Marketing</x:v>
      </x:c>
      <x:c r="C39" s="16" t="str">
        <x:v>STAFF SALES</x:v>
      </x:c>
      <x:c r="D39" s="16" t="str">
        <x:v>RC-KPI-SM-SLS-01</x:v>
      </x:c>
      <x:c r="E39" s="16" t="str">
        <x:v>Respons Customer, Closing &amp; Omzet</x:v>
      </x:c>
      <x:c r="F39" s="68" t="n">
        <x:v>0.35</x:v>
      </x:c>
      <x:c r="G39" s="68" t="n">
        <x:v>0.4666666666666666</x:v>
      </x:c>
      <x:c r="H39" s="16" t="str">
        <x:v>WI-SM-007, WI-SM-008
Bukti: CRM/chat log, rekap sales, proposal/quotation.</x:v>
      </x:c>
      <x:c r="I39" s="16" t="str">
        <x:v>RPT SM Sales</x:v>
      </x:c>
      <x:c r="J39" s="16" t="str">
        <x:f>IF('RPT SM Sales'!F22=0,"Waiting for Input",'RPT SM Sales'!F22)</x:f>
        <x:v>Waiting for Input</x:v>
      </x:c>
    </x:row>
    <x:row r="40" ht="36" customHeight="1">
      <x:c r="A40" s="16" t="n">
        <x:v>35</x:v>
      </x:c>
      <x:c r="B40" s="16" t="str">
        <x:v>Sales &amp; Marketing</x:v>
      </x:c>
      <x:c r="C40" s="16" t="str">
        <x:v>STAFF SALES</x:v>
      </x:c>
      <x:c r="D40" s="16" t="str">
        <x:v>RC-KPI-SM-SLS-02</x:v>
      </x:c>
      <x:c r="E40" s="16" t="str">
        <x:v>Akurasi Spek &amp; Handover ke Operations</x:v>
      </x:c>
      <x:c r="F40" s="68" t="n">
        <x:v>0.25</x:v>
      </x:c>
      <x:c r="G40" s="68" t="n">
        <x:v>0.3333333333333333</x:v>
      </x:c>
      <x:c r="H40" s="16" t="str">
        <x:v>WI-SM-007, WI-SM-008, WI-SM-009
Bukti: form order, bukti DP, konfirmasi Admin Ops, log revisi.</x:v>
      </x:c>
      <x:c r="I40" s="16" t="str">
        <x:v>RPT SM Sales</x:v>
      </x:c>
      <x:c r="J40" s="16" t="str">
        <x:f>IF('RPT SM Sales'!F37=0,"Waiting for Input",'RPT SM Sales'!F37)</x:f>
        <x:v>Waiting for Input</x:v>
      </x:c>
    </x:row>
    <x:row r="41" ht="36" customHeight="1">
      <x:c r="A41" s="16" t="n">
        <x:v>36</x:v>
      </x:c>
      <x:c r="B41" s="16" t="str">
        <x:v>Sales &amp; Marketing</x:v>
      </x:c>
      <x:c r="C41" s="16" t="str">
        <x:v>STAFF SALES</x:v>
      </x:c>
      <x:c r="D41" s="16" t="str">
        <x:v>RC-KPI-SM-SLS-03</x:v>
      </x:c>
      <x:c r="E41" s="16" t="str">
        <x:v>After Sales, Komplain &amp; Retensi</x:v>
      </x:c>
      <x:c r="F41" s="68" t="n">
        <x:v>0.15</x:v>
      </x:c>
      <x:c r="G41" s="68" t="n">
        <x:v>0.19999999999999998</x:v>
      </x:c>
      <x:c r="H41" s="16" t="str">
        <x:v>WI-SM-010, WI-SM-011, WI-SM-012
Bukti: komplain log, bukti komunikasi, solusi/close record.</x:v>
      </x:c>
      <x:c r="I41" s="16" t="str">
        <x:v>RPT SM Sales</x:v>
      </x:c>
      <x:c r="J41" s="16" t="str">
        <x:f>IF('RPT SM Sales'!F52=0,"Waiting for Input",'RPT SM Sales'!F52)</x:f>
        <x:v>Waiting for Input</x:v>
      </x:c>
    </x:row>
    <x:row r="42" ht="36" customHeight="1">
      <x:c r="A42" s="16" t="n">
        <x:v>37</x:v>
      </x:c>
      <x:c r="B42" s="16" t="str">
        <x:v>Sales &amp; Marketing</x:v>
      </x:c>
      <x:c r="C42" s="16" t="str">
        <x:v>SOCIAL MEDIA &amp; CONTENT SPECIALIST</x:v>
      </x:c>
      <x:c r="D42" s="16" t="str">
        <x:v>RC-KPI-SM-SOC-01</x:v>
      </x:c>
      <x:c r="E42" s="16" t="str">
        <x:v>Content Planning &amp; Approval</x:v>
      </x:c>
      <x:c r="F42" s="68" t="n">
        <x:v>0.35</x:v>
      </x:c>
      <x:c r="G42" s="68" t="n">
        <x:v>0.35</x:v>
      </x:c>
      <x:c r="H42" s="16" t="str">
        <x:v>WI-SM-003
Bukti: content calendar, approval log, revision tracker.</x:v>
      </x:c>
      <x:c r="I42" s="16" t="str">
        <x:v>RPT SM Sosmed</x:v>
      </x:c>
      <x:c r="J42" s="16" t="str">
        <x:f>IF('RPT SM Sosmed'!F22=0,"Waiting for Input",'RPT SM Sosmed'!F22)</x:f>
        <x:v>Waiting for Input</x:v>
      </x:c>
    </x:row>
    <x:row r="43" ht="36" customHeight="1">
      <x:c r="A43" s="16" t="n">
        <x:v>38</x:v>
      </x:c>
      <x:c r="B43" s="16" t="str">
        <x:v>Sales &amp; Marketing</x:v>
      </x:c>
      <x:c r="C43" s="16" t="str">
        <x:v>SOCIAL MEDIA &amp; CONTENT SPECIALIST</x:v>
      </x:c>
      <x:c r="D43" s="16" t="str">
        <x:v>RC-KPI-SM-SOC-02</x:v>
      </x:c>
      <x:c r="E43" s="16" t="str">
        <x:v>Publishing &amp; Akurasi Konten</x:v>
      </x:c>
      <x:c r="F43" s="68" t="n">
        <x:v>0.4</x:v>
      </x:c>
      <x:c r="G43" s="68" t="n">
        <x:v>0.4</x:v>
      </x:c>
      <x:c r="H43" s="16" t="str">
        <x:v>WI-SM-003
Bukti: publishing log, screenshot post, folder asset.</x:v>
      </x:c>
      <x:c r="I43" s="16" t="str">
        <x:v>RPT SM Sosmed</x:v>
      </x:c>
      <x:c r="J43" s="16" t="str">
        <x:f>IF('RPT SM Sosmed'!F37=0,"Waiting for Input",'RPT SM Sosmed'!F37)</x:f>
        <x:v>Waiting for Input</x:v>
      </x:c>
    </x:row>
    <x:row r="44" ht="36" customHeight="1">
      <x:c r="A44" s="16" t="n">
        <x:v>39</x:v>
      </x:c>
      <x:c r="B44" s="16" t="str">
        <x:v>Sales &amp; Marketing</x:v>
      </x:c>
      <x:c r="C44" s="16" t="str">
        <x:v>SOCIAL MEDIA &amp; CONTENT SPECIALIST</x:v>
      </x:c>
      <x:c r="D44" s="16" t="str">
        <x:v>RC-KPI-SM-SOC-03</x:v>
      </x:c>
      <x:c r="E44" s="16" t="str">
        <x:v>Analytics &amp; Iterasi</x:v>
      </x:c>
      <x:c r="F44" s="68" t="n">
        <x:v>0.25</x:v>
      </x:c>
      <x:c r="G44" s="68" t="n">
        <x:v>0.25</x:v>
      </x:c>
      <x:c r="H44" s="16" t="str">
        <x:v>WI-SM-003, WI-SM-014
Bukti: analytics report, insight deck, notulen review.</x:v>
      </x:c>
      <x:c r="I44" s="16" t="str">
        <x:v>RPT SM Sosmed</x:v>
      </x:c>
      <x:c r="J44" s="16" t="str">
        <x:f>IF('RPT SM Sosmed'!F52=0,"Waiting for Input",'RPT SM Sosmed'!F52)</x:f>
        <x:v>Waiting for Input</x:v>
      </x:c>
    </x:row>
    <x:row r="45" ht="36" customHeight="1">
      <x:c r="A45" s="16" t="n">
        <x:v>40</x:v>
      </x:c>
      <x:c r="B45" s="16" t="str">
        <x:v>Research &amp; Development</x:v>
      </x:c>
      <x:c r="C45" s="16" t="str">
        <x:v>KEPALA R&amp;D</x:v>
      </x:c>
      <x:c r="D45" s="16" t="str">
        <x:v>RC-KPI-RND-HEAD-01</x:v>
      </x:c>
      <x:c r="E45" s="16" t="str">
        <x:v>Strategi Produk &amp; Creative Brief</x:v>
      </x:c>
      <x:c r="F45" s="68" t="n">
        <x:v>0.25</x:v>
      </x:c>
      <x:c r="G45" s="68" t="n">
        <x:v>0.3125</x:v>
      </x:c>
      <x:c r="H45" s="16" t="str">
        <x:v>WI-RND-001
Bukti: creative brief, roadmap produk, input market insight.</x:v>
      </x:c>
      <x:c r="I45" s="16" t="str">
        <x:v>RPT RND Head</x:v>
      </x:c>
      <x:c r="J45" s="16" t="str">
        <x:f>IF('RPT RND Head'!F22=0,"Waiting for Input",'RPT RND Head'!F22)</x:f>
        <x:v>Waiting for Input</x:v>
      </x:c>
    </x:row>
    <x:row r="46" ht="36" customHeight="1">
      <x:c r="A46" s="16" t="n">
        <x:v>41</x:v>
      </x:c>
      <x:c r="B46" s="16" t="str">
        <x:v>Research &amp; Development</x:v>
      </x:c>
      <x:c r="C46" s="16" t="str">
        <x:v>KEPALA R&amp;D</x:v>
      </x:c>
      <x:c r="D46" s="16" t="str">
        <x:v>RC-KPI-RND-HEAD-02</x:v>
      </x:c>
      <x:c r="E46" s="16" t="str">
        <x:v>Governance Review &amp; ACC Design</x:v>
      </x:c>
      <x:c r="F46" s="68" t="n">
        <x:v>0.25</x:v>
      </x:c>
      <x:c r="G46" s="68" t="n">
        <x:v>0.3125</x:v>
      </x:c>
      <x:c r="H46" s="16" t="str">
        <x:v>WI-RND-004
Bukti: design review log, catatan revisi, folder ACC.</x:v>
      </x:c>
      <x:c r="I46" s="16" t="str">
        <x:v>RPT RND Head</x:v>
      </x:c>
      <x:c r="J46" s="16" t="str">
        <x:f>IF('RPT RND Head'!F37=0,"Waiting for Input",'RPT RND Head'!F37)</x:f>
        <x:v>Waiting for Input</x:v>
      </x:c>
    </x:row>
    <x:row r="47" ht="36" customHeight="1">
      <x:c r="A47" s="16" t="n">
        <x:v>42</x:v>
      </x:c>
      <x:c r="B47" s="16" t="str">
        <x:v>Research &amp; Development</x:v>
      </x:c>
      <x:c r="C47" s="16" t="str">
        <x:v>KEPALA R&amp;D</x:v>
      </x:c>
      <x:c r="D47" s="16" t="str">
        <x:v>RC-KPI-RND-HEAD-03</x:v>
      </x:c>
      <x:c r="E47" s="16" t="str">
        <x:v>Approval Tech Pack &amp; Transfer ke Operations</x:v>
      </x:c>
      <x:c r="F47" s="68" t="n">
        <x:v>0.3</x:v>
      </x:c>
      <x:c r="G47" s="68" t="n">
        <x:v>0.37499999999999994</x:v>
      </x:c>
      <x:c r="H47" s="16" t="str">
        <x:v>WI-RND-011, WI-RND-012, WI-RND-013
Bukti: tech pack approved, berita acara handover, folder resmi.</x:v>
      </x:c>
      <x:c r="I47" s="16" t="str">
        <x:v>RPT RND Head</x:v>
      </x:c>
      <x:c r="J47" s="16" t="str">
        <x:f>IF('RPT RND Head'!F52=0,"Waiting for Input",'RPT RND Head'!F52)</x:f>
        <x:v>Waiting for Input</x:v>
      </x:c>
    </x:row>
    <x:row r="48" ht="36" customHeight="1">
      <x:c r="A48" s="16" t="n">
        <x:v>43</x:v>
      </x:c>
      <x:c r="B48" s="16" t="str">
        <x:v>Research &amp; Development</x:v>
      </x:c>
      <x:c r="C48" s="16" t="str">
        <x:v>PRODUCT DEVELOPMENT / DESIGNER &amp; PATTERN SPECIALIST</x:v>
      </x:c>
      <x:c r="D48" s="16" t="str">
        <x:v>RC-KPI-RND-DES-01</x:v>
      </x:c>
      <x:c r="E48" s="16" t="str">
        <x:v>Pengembangan Desain &amp; Produk</x:v>
      </x:c>
      <x:c r="F48" s="68" t="n">
        <x:v>0.35</x:v>
      </x:c>
      <x:c r="G48" s="68" t="n">
        <x:v>0.35</x:v>
      </x:c>
      <x:c r="H48" s="16" t="str">
        <x:v>WI-RND-002
Bukti: folder desain, konsep/brief, version log.</x:v>
      </x:c>
      <x:c r="I48" s="16" t="str">
        <x:v>RPT RND Designer</x:v>
      </x:c>
      <x:c r="J48" s="16" t="str">
        <x:f>IF('RPT RND Designer'!F23=0,"Waiting for Input",'RPT RND Designer'!F23)</x:f>
        <x:v>Waiting for Input</x:v>
      </x:c>
    </x:row>
    <x:row r="49" ht="36" customHeight="1">
      <x:c r="A49" s="16" t="n">
        <x:v>44</x:v>
      </x:c>
      <x:c r="B49" s="16" t="str">
        <x:v>Research &amp; Development</x:v>
      </x:c>
      <x:c r="C49" s="16" t="str">
        <x:v>PRODUCT DEVELOPMENT / DESIGNER &amp; PATTERN SPECIALIST</x:v>
      </x:c>
      <x:c r="D49" s="16" t="str">
        <x:v>RC-KPI-RND-DES-02</x:v>
      </x:c>
      <x:c r="E49" s="16" t="str">
        <x:v>Eksperimen AI, Mockup &amp; Kualitas File</x:v>
      </x:c>
      <x:c r="F49" s="68" t="n">
        <x:v>0.2</x:v>
      </x:c>
      <x:c r="G49" s="68" t="n">
        <x:v>0.2</x:v>
      </x:c>
      <x:c r="H49" s="16" t="str">
        <x:v>WI-RND-003, WI-RND-006
Bukti: prompt/reference log, file final, checklist file.</x:v>
      </x:c>
      <x:c r="I49" s="16" t="str">
        <x:v>RPT RND Designer</x:v>
      </x:c>
      <x:c r="J49" s="16" t="str">
        <x:f>IF('RPT RND Designer'!F38=0,"Waiting for Input",'RPT RND Designer'!F38)</x:f>
        <x:v>Waiting for Input</x:v>
      </x:c>
    </x:row>
    <x:row r="50" ht="36" customHeight="1">
      <x:c r="A50" s="16" t="n">
        <x:v>45</x:v>
      </x:c>
      <x:c r="B50" s="16" t="str">
        <x:v>Research &amp; Development</x:v>
      </x:c>
      <x:c r="C50" s="16" t="str">
        <x:v>PRODUCT DEVELOPMENT / DESIGNER &amp; PATTERN SPECIALIST</x:v>
      </x:c>
      <x:c r="D50" s="16" t="str">
        <x:v>RC-KPI-RND-DES-03</x:v>
      </x:c>
      <x:c r="E50" s="16" t="str">
        <x:v>Review, Iterasi &amp; ACC Design</x:v>
      </x:c>
      <x:c r="F50" s="68" t="n">
        <x:v>0.25</x:v>
      </x:c>
      <x:c r="G50" s="68" t="n">
        <x:v>0.25</x:v>
      </x:c>
      <x:c r="H50" s="16" t="str">
        <x:v>WI-RND-004
Bukti: review log, timestamp revisi, folder ACC.</x:v>
      </x:c>
      <x:c r="I50" s="16" t="str">
        <x:v>RPT RND Designer</x:v>
      </x:c>
      <x:c r="J50" s="16" t="str">
        <x:f>IF('RPT RND Designer'!F53=0,"Waiting for Input",'RPT RND Designer'!F53)</x:f>
        <x:v>Waiting for Input</x:v>
      </x:c>
    </x:row>
    <x:row r="51" ht="36" customHeight="1">
      <x:c r="A51" s="16" t="n">
        <x:v>46</x:v>
      </x:c>
      <x:c r="B51" s="16" t="str">
        <x:v>Research &amp; Development</x:v>
      </x:c>
      <x:c r="C51" s="16" t="str">
        <x:v>PRODUCT DEVELOPMENT / DESIGNER &amp; PATTERN SPECIALIST</x:v>
      </x:c>
      <x:c r="D51" s="16" t="str">
        <x:v>RC-KPI-RND-DES-04</x:v>
      </x:c>
      <x:c r="E51" s="16" t="str">
        <x:v>Katalog &amp; Handover Aset</x:v>
      </x:c>
      <x:c r="F51" s="68" t="n">
        <x:v>0.2</x:v>
      </x:c>
      <x:c r="G51" s="68" t="n">
        <x:v>0.2</x:v>
      </x:c>
      <x:c r="H51" s="16" t="str">
        <x:v>WI-RND-005, WI-RND-006
Bukti: katalog final, link folder, konfirmasi handover.</x:v>
      </x:c>
      <x:c r="I51" s="16" t="str">
        <x:v>RPT RND Designer</x:v>
      </x:c>
      <x:c r="J51" s="16" t="str">
        <x:f>IF('RPT RND Designer'!F68=0,"Waiting for Input",'RPT RND Designer'!F68)</x:f>
        <x:v>Waiting for Input</x:v>
      </x:c>
    </x:row>
    <x:row r="52" ht="36" customHeight="1">
      <x:c r="A52" s="16" t="n">
        <x:v>47</x:v>
      </x:c>
      <x:c r="B52" s="16" t="str">
        <x:v>Research &amp; Development</x:v>
      </x:c>
      <x:c r="C52" s="16" t="str">
        <x:v>TECHNICAL &amp; BLUEPRINT SPECIALIST</x:v>
      </x:c>
      <x:c r="D52" s="16" t="str">
        <x:v>RC-KPI-RND-TEC-01</x:v>
      </x:c>
      <x:c r="E52" s="16" t="str">
        <x:v>Uji Material &amp; Durability</x:v>
      </x:c>
      <x:c r="F52" s="68" t="n">
        <x:v>0.25</x:v>
      </x:c>
      <x:c r="G52" s="68" t="n">
        <x:v>0.25</x:v>
      </x:c>
      <x:c r="H52" s="16" t="str">
        <x:v>WI-RND-007, WI-RND-008
Bukti: form uji bahan, durability report, foto/video.</x:v>
      </x:c>
      <x:c r="I52" s="16" t="str">
        <x:v>RPT RND Tech</x:v>
      </x:c>
      <x:c r="J52" s="16" t="str">
        <x:f>IF('RPT RND Tech'!F23=0,"Waiting for Input",'RPT RND Tech'!F23)</x:f>
        <x:v>Waiting for Input</x:v>
      </x:c>
    </x:row>
    <x:row r="53" ht="36" customHeight="1">
      <x:c r="A53" s="16" t="n">
        <x:v>48</x:v>
      </x:c>
      <x:c r="B53" s="16" t="str">
        <x:v>Research &amp; Development</x:v>
      </x:c>
      <x:c r="C53" s="16" t="str">
        <x:v>TECHNICAL &amp; BLUEPRINT SPECIALIST</x:v>
      </x:c>
      <x:c r="D53" s="16" t="str">
        <x:v>RC-KPI-RND-TEC-02</x:v>
      </x:c>
      <x:c r="E53" s="16" t="str">
        <x:v>Manufacturing Readiness / Gatekeeper</x:v>
      </x:c>
      <x:c r="F53" s="68" t="n">
        <x:v>0.25</x:v>
      </x:c>
      <x:c r="G53" s="68" t="n">
        <x:v>0.25</x:v>
      </x:c>
      <x:c r="H53" s="16" t="str">
        <x:v>WI-RND-010
Bukti: review teknis, status readiness, catatan revisi.</x:v>
      </x:c>
      <x:c r="I53" s="16" t="str">
        <x:v>RPT RND Tech</x:v>
      </x:c>
      <x:c r="J53" s="16" t="str">
        <x:f>IF('RPT RND Tech'!F38=0,"Waiting for Input",'RPT RND Tech'!F38)</x:f>
        <x:v>Waiting for Input</x:v>
      </x:c>
    </x:row>
    <x:row r="54" ht="36" customHeight="1">
      <x:c r="A54" s="16" t="n">
        <x:v>49</x:v>
      </x:c>
      <x:c r="B54" s="16" t="str">
        <x:v>Research &amp; Development</x:v>
      </x:c>
      <x:c r="C54" s="16" t="str">
        <x:v>TECHNICAL &amp; BLUEPRINT SPECIALIST</x:v>
      </x:c>
      <x:c r="D54" s="16" t="str">
        <x:v>RC-KPI-RND-TEC-03</x:v>
      </x:c>
      <x:c r="E54" s="16" t="str">
        <x:v>Tech Pack, HPP &amp; Approval</x:v>
      </x:c>
      <x:c r="F54" s="68" t="n">
        <x:v>0.3</x:v>
      </x:c>
      <x:c r="G54" s="68" t="n">
        <x:v>0.3</x:v>
      </x:c>
      <x:c r="H54" s="16" t="str">
        <x:v>WI-RND-009, WI-RND-011, WI-RND-012
Bukti: Tech Pack, approval log, HPP reference.</x:v>
      </x:c>
      <x:c r="I54" s="16" t="str">
        <x:v>RPT RND Tech</x:v>
      </x:c>
      <x:c r="J54" s="16" t="str">
        <x:f>IF('RPT RND Tech'!F53=0,"Waiting for Input",'RPT RND Tech'!F53)</x:f>
        <x:v>Waiting for Input</x:v>
      </x:c>
    </x:row>
    <x:row r="55" ht="36" customHeight="1">
      <x:c r="A55" s="16" t="n">
        <x:v>50</x:v>
      </x:c>
      <x:c r="B55" s="16" t="str">
        <x:v>Research &amp; Development</x:v>
      </x:c>
      <x:c r="C55" s="16" t="str">
        <x:v>TECHNICAL &amp; BLUEPRINT SPECIALIST</x:v>
      </x:c>
      <x:c r="D55" s="16" t="str">
        <x:v>RC-KPI-RND-TEC-04</x:v>
      </x:c>
      <x:c r="E55" s="16" t="str">
        <x:v>Transfer &amp; Supervisi Batch Pertama</x:v>
      </x:c>
      <x:c r="F55" s="68" t="n">
        <x:v>0.2</x:v>
      </x:c>
      <x:c r="G55" s="68" t="n">
        <x:v>0.2</x:v>
      </x:c>
      <x:c r="H55" s="16" t="str">
        <x:v>WI-RND-013, WI-RND-014
Bukti: berita acara transfer, batch check report, log deviasi.</x:v>
      </x:c>
      <x:c r="I55" s="16" t="str">
        <x:v>RPT RND Tech</x:v>
      </x:c>
      <x:c r="J55" s="16" t="str">
        <x:f>IF('RPT RND Tech'!F68=0,"Waiting for Input",'RPT RND Tech'!F68)</x:f>
        <x:v>Waiting for Input</x:v>
      </x:c>
    </x:row>
    <x:row r="56" ht="36" customHeight="1">
      <x:c r="A56" s="16" t="n">
        <x:v>51</x:v>
      </x:c>
      <x:c r="B56" s="16" t="str">
        <x:v>Finance, Accounting &amp; Tax</x:v>
      </x:c>
      <x:c r="C56" s="16" t="str">
        <x:v>FAT GENERALIST (FINANCE, ACCOUNTING &amp; TAX) — 1 PERSON</x:v>
      </x:c>
      <x:c r="D56" s="16" t="str">
        <x:v>RC-KPI-FAT-GEN-01</x:v>
      </x:c>
      <x:c r="E56" s="16" t="str">
        <x:v>Kas Harian, Rekonsiliasi &amp; Piutang/Utang</x:v>
      </x:c>
      <x:c r="F56" s="68" t="n">
        <x:v>0.35</x:v>
      </x:c>
      <x:c r="G56" s="68" t="n">
        <x:v>0.35</x:v>
      </x:c>
      <x:c r="H56" s="16" t="str">
        <x:v>WI-FAT-001, WI-FAT-002, WI-FAT-003, WI-FAT-004
Bukti: cashbook, rekonsiliasi bank, aging AR/AP, bukti reminder.</x:v>
      </x:c>
      <x:c r="I56" s="16" t="str">
        <x:v>RPT FAT Generalist</x:v>
      </x:c>
      <x:c r="J56" s="16" t="str">
        <x:f>IF('RPT FAT Generalist'!F23=0,"Waiting for Input",'RPT FAT Generalist'!F23)</x:f>
        <x:v>Waiting for Input</x:v>
      </x:c>
    </x:row>
    <x:row r="57" ht="36" customHeight="1">
      <x:c r="A57" s="16" t="n">
        <x:v>52</x:v>
      </x:c>
      <x:c r="B57" s="16" t="str">
        <x:v>Finance, Accounting &amp; Tax</x:v>
      </x:c>
      <x:c r="C57" s="16" t="str">
        <x:v>FAT GENERALIST (FINANCE, ACCOUNTING &amp; TAX) — 1 PERSON</x:v>
      </x:c>
      <x:c r="D57" s="16" t="str">
        <x:v>RC-KPI-FAT-GEN-02</x:v>
      </x:c>
      <x:c r="E57" s="16" t="str">
        <x:v>Validasi Pembayaran &amp; Payroll</x:v>
      </x:c>
      <x:c r="F57" s="68" t="n">
        <x:v>0.2</x:v>
      </x:c>
      <x:c r="G57" s="68" t="n">
        <x:v>0.2</x:v>
      </x:c>
      <x:c r="H57" s="16" t="str">
        <x:v>WI-FAT-005, WI-FAT-006
Bukti: payment list, approval, draft payroll, bukti transfer.</x:v>
      </x:c>
      <x:c r="I57" s="16" t="str">
        <x:v>RPT FAT Generalist</x:v>
      </x:c>
      <x:c r="J57" s="16" t="str">
        <x:f>IF('RPT FAT Generalist'!F38=0,"Waiting for Input",'RPT FAT Generalist'!F38)</x:f>
        <x:v>Waiting for Input</x:v>
      </x:c>
    </x:row>
    <x:row r="58" ht="36" customHeight="1">
      <x:c r="A58" s="16" t="n">
        <x:v>53</x:v>
      </x:c>
      <x:c r="B58" s="16" t="str">
        <x:v>Finance, Accounting &amp; Tax</x:v>
      </x:c>
      <x:c r="C58" s="16" t="str">
        <x:v>FAT GENERALIST (FINANCE, ACCOUNTING &amp; TAX) — 1 PERSON</x:v>
      </x:c>
      <x:c r="D58" s="16" t="str">
        <x:v>RC-KPI-FAT-GEN-03</x:v>
      </x:c>
      <x:c r="E58" s="16" t="str">
        <x:v>Closing Bulanan, Pajak &amp; HPP</x:v>
      </x:c>
      <x:c r="F58" s="68" t="n">
        <x:v>0.3</x:v>
      </x:c>
      <x:c r="G58" s="68" t="n">
        <x:v>0.3</x:v>
      </x:c>
      <x:c r="H58" s="16" t="str">
        <x:v>WI-FAT-007, WI-FAT-010, WI-FAT-011
Bukti: cash report, closing pack, SPT/bukti bayar, HPP sheet.</x:v>
      </x:c>
      <x:c r="I58" s="16" t="str">
        <x:v>RPT FAT Generalist</x:v>
      </x:c>
      <x:c r="J58" s="16" t="str">
        <x:f>IF('RPT FAT Generalist'!F53=0,"Waiting for Input",'RPT FAT Generalist'!F53)</x:f>
        <x:v>Waiting for Input</x:v>
      </x:c>
    </x:row>
    <x:row r="59" ht="36" customHeight="1">
      <x:c r="A59" s="16" t="n">
        <x:v>54</x:v>
      </x:c>
      <x:c r="B59" s="16" t="str">
        <x:v>Finance, Accounting &amp; Tax</x:v>
      </x:c>
      <x:c r="C59" s="16" t="str">
        <x:v>FAT GENERALIST (FINANCE, ACCOUNTING &amp; TAX) — 1 PERSON</x:v>
      </x:c>
      <x:c r="D59" s="16" t="str">
        <x:v>RC-KPI-FAT-GEN-04</x:v>
      </x:c>
      <x:c r="E59" s="16" t="str">
        <x:v>Budget Control, Audit &amp; Forecast</x:v>
      </x:c>
      <x:c r="F59" s="68" t="n">
        <x:v>0.15</x:v>
      </x:c>
      <x:c r="G59" s="68" t="n">
        <x:v>0.15</x:v>
      </x:c>
      <x:c r="H59" s="16" t="str">
        <x:v>WI-FAT-009, WI-FAT-012, WI-FAT-013, WI-FAT-014
Bukti: budget report, audit log, forecast kas, action follow-up.</x:v>
      </x:c>
      <x:c r="I59" s="16" t="str">
        <x:v>RPT FAT Generalist</x:v>
      </x:c>
      <x:c r="J59" s="16" t="str">
        <x:f>IF('RPT FAT Generalist'!F68=0,"Waiting for Input",'RPT FAT Generalist'!F68)</x:f>
        <x:v>Waiting for Input</x:v>
      </x:c>
    </x:row>
    <x:row r="60" ht="36" customHeight="1">
      <x:c r="A60" s="16" t="n">
        <x:v>55</x:v>
      </x:c>
      <x:c r="B60" s="16" t="str">
        <x:v>HRD GA</x:v>
      </x:c>
      <x:c r="C60" s="16" t="str">
        <x:v>HRD GA GENERALIST — 1 PERSON</x:v>
      </x:c>
      <x:c r="D60" s="16" t="str">
        <x:v>RC-KPI-HRD-GEN-01</x:v>
      </x:c>
      <x:c r="E60" s="16" t="str">
        <x:v>Database SDM, Absensi &amp; Payroll Input</x:v>
      </x:c>
      <x:c r="F60" s="68" t="n">
        <x:v>0.3</x:v>
      </x:c>
      <x:c r="G60" s="68" t="n">
        <x:v>0.3</x:v>
      </x:c>
      <x:c r="H60" s="16" t="str">
        <x:v>WI-HRD-012, WI-HRD-013, WI-HRD-014
Bukti: database SDM, rekap absensi, payroll input checklist.</x:v>
      </x:c>
      <x:c r="I60" s="16" t="str">
        <x:v>RPT HRD Generalist</x:v>
      </x:c>
      <x:c r="J60" s="16" t="str">
        <x:f>IF('RPT HRD Generalist'!F23=0,"Waiting for Input",'RPT HRD Generalist'!F23)</x:f>
        <x:v>Waiting for Input</x:v>
      </x:c>
    </x:row>
    <x:row r="61" ht="36" customHeight="1">
      <x:c r="A61" s="16" t="n">
        <x:v>56</x:v>
      </x:c>
      <x:c r="B61" s="16" t="str">
        <x:v>HRD GA</x:v>
      </x:c>
      <x:c r="C61" s="16" t="str">
        <x:v>HRD GA GENERALIST — 1 PERSON</x:v>
      </x:c>
      <x:c r="D61" s="16" t="str">
        <x:v>RC-KPI-HRD-GEN-02</x:v>
      </x:c>
      <x:c r="E61" s="16" t="str">
        <x:v>Recruitment, Offering &amp; Onboarding</x:v>
      </x:c>
      <x:c r="F61" s="68" t="n">
        <x:v>0.25</x:v>
      </x:c>
      <x:c r="G61" s="68" t="n">
        <x:v>0.25</x:v>
      </x:c>
      <x:c r="H61" s="16" t="str">
        <x:v>WI-HRD-001, WI-HRD-003, WI-HRD-004, WI-HRD-005, WI-HRD-006
Bukti: form kebutuhan, shortlist, interview notes, offering, onboarding checklist.</x:v>
      </x:c>
      <x:c r="I61" s="16" t="str">
        <x:v>RPT HRD Generalist</x:v>
      </x:c>
      <x:c r="J61" s="16" t="str">
        <x:f>IF('RPT HRD Generalist'!F38=0,"Waiting for Input",'RPT HRD Generalist'!F38)</x:f>
        <x:v>Waiting for Input</x:v>
      </x:c>
    </x:row>
    <x:row r="62" ht="36" customHeight="1">
      <x:c r="A62" s="16" t="n">
        <x:v>57</x:v>
      </x:c>
      <x:c r="B62" s="16" t="str">
        <x:v>HRD GA</x:v>
      </x:c>
      <x:c r="C62" s="16" t="str">
        <x:v>HRD GA GENERALIST — 1 PERSON</x:v>
      </x:c>
      <x:c r="D62" s="16" t="str">
        <x:v>RC-KPI-HRD-GEN-03</x:v>
      </x:c>
      <x:c r="E62" s="16" t="str">
        <x:v>KPI, TNA, Training &amp; Budaya</x:v>
      </x:c>
      <x:c r="F62" s="68" t="n">
        <x:v>0.25</x:v>
      </x:c>
      <x:c r="G62" s="68" t="n">
        <x:v>0.25</x:v>
      </x:c>
      <x:c r="H62" s="16" t="str">
        <x:v>WI-HRD-002, WI-HRD-007, WI-HRD-008, WI-HRD-009, WI-HRD-010, WI-HRD-017
Bukti: KPI tracker, TNA, daftar hadir, feedback/PIP/action plan.</x:v>
      </x:c>
      <x:c r="I62" s="16" t="str">
        <x:v>RPT HRD Generalist</x:v>
      </x:c>
      <x:c r="J62" s="16" t="str">
        <x:f>IF('RPT HRD Generalist'!F53=0,"Waiting for Input",'RPT HRD Generalist'!F53)</x:f>
        <x:v>Waiting for Input</x:v>
      </x:c>
    </x:row>
    <x:row r="63" ht="36" customHeight="1">
      <x:c r="A63" s="16" t="n">
        <x:v>58</x:v>
      </x:c>
      <x:c r="B63" s="16" t="str">
        <x:v>HRD GA</x:v>
      </x:c>
      <x:c r="C63" s="16" t="str">
        <x:v>HRD GA GENERALIST — 1 PERSON</x:v>
      </x:c>
      <x:c r="D63" s="16" t="str">
        <x:v>RC-KPI-HRD-GEN-04</x:v>
      </x:c>
      <x:c r="E63" s="16" t="str">
        <x:v>Dokumen Legal &amp; Compliance</x:v>
      </x:c>
      <x:c r="F63" s="68" t="n">
        <x:v>0.2</x:v>
      </x:c>
      <x:c r="G63" s="68" t="n">
        <x:v>0.2</x:v>
      </x:c>
      <x:c r="H63" s="16" t="str">
        <x:v>WI-HRD-015, WI-HRD-016
Bukti: kontrak/SK, tracker expiry, checklist compliance, mitigation log.</x:v>
      </x:c>
      <x:c r="I63" s="16" t="str">
        <x:v>RPT HRD Generalist</x:v>
      </x:c>
      <x:c r="J63" s="16" t="str">
        <x:f>IF('RPT HRD Generalist'!F68=0,"Waiting for Input",'RPT HRD Generalist'!F68)</x:f>
        <x:v>Waiting for Input</x:v>
      </x:c>
    </x:row>
  </x:sheetData>
  <x:mergeCells>
    <x:mergeCell ref="A1:J1"/>
    <x:mergeCell ref="A3:J3"/>
  </x:mergeCells>
  <x:conditionalFormatting sqref="J6:J6">
    <x:cfRule type="expression" dxfId="510" priority="1">
      <x:formula>J6="On Track"</x:formula>
    </x:cfRule>
    <x:cfRule type="expression" dxfId="511" priority="2">
      <x:formula>J6="Good"</x:formula>
    </x:cfRule>
    <x:cfRule type="expression" dxfId="512" priority="3">
      <x:formula>J6="Need Improvement"</x:formula>
    </x:cfRule>
    <x:cfRule type="expression" dxfId="513" priority="4">
      <x:formula>J6="Priority"</x:formula>
    </x:cfRule>
  </x:conditionalFormatting>
  <x:conditionalFormatting sqref="J7:J7">
    <x:cfRule type="expression" dxfId="514" priority="5">
      <x:formula>J7="On Track"</x:formula>
    </x:cfRule>
    <x:cfRule type="expression" dxfId="515" priority="6">
      <x:formula>J7="Good"</x:formula>
    </x:cfRule>
    <x:cfRule type="expression" dxfId="516" priority="7">
      <x:formula>J7="Need Improvement"</x:formula>
    </x:cfRule>
    <x:cfRule type="expression" dxfId="517" priority="8">
      <x:formula>J7="Priority"</x:formula>
    </x:cfRule>
  </x:conditionalFormatting>
  <x:conditionalFormatting sqref="J8:J8">
    <x:cfRule type="expression" dxfId="518" priority="9">
      <x:formula>J8="On Track"</x:formula>
    </x:cfRule>
    <x:cfRule type="expression" dxfId="519" priority="10">
      <x:formula>J8="Good"</x:formula>
    </x:cfRule>
    <x:cfRule type="expression" dxfId="520" priority="11">
      <x:formula>J8="Need Improvement"</x:formula>
    </x:cfRule>
    <x:cfRule type="expression" dxfId="521" priority="12">
      <x:formula>J8="Priority"</x:formula>
    </x:cfRule>
  </x:conditionalFormatting>
  <x:conditionalFormatting sqref="J9:J9">
    <x:cfRule type="expression" dxfId="522" priority="13">
      <x:formula>J9="On Track"</x:formula>
    </x:cfRule>
    <x:cfRule type="expression" dxfId="523" priority="14">
      <x:formula>J9="Good"</x:formula>
    </x:cfRule>
    <x:cfRule type="expression" dxfId="524" priority="15">
      <x:formula>J9="Need Improvement"</x:formula>
    </x:cfRule>
    <x:cfRule type="expression" dxfId="525" priority="16">
      <x:formula>J9="Priority"</x:formula>
    </x:cfRule>
  </x:conditionalFormatting>
  <x:conditionalFormatting sqref="J10:J10">
    <x:cfRule type="expression" dxfId="526" priority="17">
      <x:formula>J10="On Track"</x:formula>
    </x:cfRule>
    <x:cfRule type="expression" dxfId="527" priority="18">
      <x:formula>J10="Good"</x:formula>
    </x:cfRule>
    <x:cfRule type="expression" dxfId="528" priority="19">
      <x:formula>J10="Need Improvement"</x:formula>
    </x:cfRule>
    <x:cfRule type="expression" dxfId="529" priority="20">
      <x:formula>J10="Priority"</x:formula>
    </x:cfRule>
  </x:conditionalFormatting>
  <x:conditionalFormatting sqref="J11:J11">
    <x:cfRule type="expression" dxfId="530" priority="21">
      <x:formula>J11="On Track"</x:formula>
    </x:cfRule>
    <x:cfRule type="expression" dxfId="531" priority="22">
      <x:formula>J11="Good"</x:formula>
    </x:cfRule>
    <x:cfRule type="expression" dxfId="532" priority="23">
      <x:formula>J11="Need Improvement"</x:formula>
    </x:cfRule>
    <x:cfRule type="expression" dxfId="533" priority="24">
      <x:formula>J11="Priority"</x:formula>
    </x:cfRule>
  </x:conditionalFormatting>
  <x:conditionalFormatting sqref="J12:J12">
    <x:cfRule type="expression" dxfId="534" priority="25">
      <x:formula>J12="On Track"</x:formula>
    </x:cfRule>
    <x:cfRule type="expression" dxfId="535" priority="26">
      <x:formula>J12="Good"</x:formula>
    </x:cfRule>
    <x:cfRule type="expression" dxfId="536" priority="27">
      <x:formula>J12="Need Improvement"</x:formula>
    </x:cfRule>
    <x:cfRule type="expression" dxfId="537" priority="28">
      <x:formula>J12="Priority"</x:formula>
    </x:cfRule>
  </x:conditionalFormatting>
  <x:conditionalFormatting sqref="J13:J13">
    <x:cfRule type="expression" dxfId="538" priority="29">
      <x:formula>J13="On Track"</x:formula>
    </x:cfRule>
    <x:cfRule type="expression" dxfId="539" priority="30">
      <x:formula>J13="Good"</x:formula>
    </x:cfRule>
    <x:cfRule type="expression" dxfId="540" priority="31">
      <x:formula>J13="Need Improvement"</x:formula>
    </x:cfRule>
    <x:cfRule type="expression" dxfId="541" priority="32">
      <x:formula>J13="Priority"</x:formula>
    </x:cfRule>
  </x:conditionalFormatting>
  <x:conditionalFormatting sqref="J14:J14">
    <x:cfRule type="expression" dxfId="542" priority="33">
      <x:formula>J14="On Track"</x:formula>
    </x:cfRule>
    <x:cfRule type="expression" dxfId="543" priority="34">
      <x:formula>J14="Good"</x:formula>
    </x:cfRule>
    <x:cfRule type="expression" dxfId="544" priority="35">
      <x:formula>J14="Need Improvement"</x:formula>
    </x:cfRule>
    <x:cfRule type="expression" dxfId="545" priority="36">
      <x:formula>J14="Priority"</x:formula>
    </x:cfRule>
  </x:conditionalFormatting>
  <x:conditionalFormatting sqref="J15:J15">
    <x:cfRule type="expression" dxfId="546" priority="37">
      <x:formula>J15="On Track"</x:formula>
    </x:cfRule>
    <x:cfRule type="expression" dxfId="547" priority="38">
      <x:formula>J15="Good"</x:formula>
    </x:cfRule>
    <x:cfRule type="expression" dxfId="548" priority="39">
      <x:formula>J15="Need Improvement"</x:formula>
    </x:cfRule>
    <x:cfRule type="expression" dxfId="549" priority="40">
      <x:formula>J15="Priority"</x:formula>
    </x:cfRule>
  </x:conditionalFormatting>
  <x:conditionalFormatting sqref="J16:J16">
    <x:cfRule type="expression" dxfId="550" priority="41">
      <x:formula>J16="On Track"</x:formula>
    </x:cfRule>
    <x:cfRule type="expression" dxfId="551" priority="42">
      <x:formula>J16="Good"</x:formula>
    </x:cfRule>
    <x:cfRule type="expression" dxfId="552" priority="43">
      <x:formula>J16="Need Improvement"</x:formula>
    </x:cfRule>
    <x:cfRule type="expression" dxfId="553" priority="44">
      <x:formula>J16="Priority"</x:formula>
    </x:cfRule>
  </x:conditionalFormatting>
  <x:conditionalFormatting sqref="J17:J17">
    <x:cfRule type="expression" dxfId="554" priority="45">
      <x:formula>J17="On Track"</x:formula>
    </x:cfRule>
    <x:cfRule type="expression" dxfId="555" priority="46">
      <x:formula>J17="Good"</x:formula>
    </x:cfRule>
    <x:cfRule type="expression" dxfId="556" priority="47">
      <x:formula>J17="Need Improvement"</x:formula>
    </x:cfRule>
    <x:cfRule type="expression" dxfId="557" priority="48">
      <x:formula>J17="Priority"</x:formula>
    </x:cfRule>
  </x:conditionalFormatting>
  <x:conditionalFormatting sqref="J18:J18">
    <x:cfRule type="expression" dxfId="558" priority="49">
      <x:formula>J18="On Track"</x:formula>
    </x:cfRule>
    <x:cfRule type="expression" dxfId="559" priority="50">
      <x:formula>J18="Good"</x:formula>
    </x:cfRule>
    <x:cfRule type="expression" dxfId="560" priority="51">
      <x:formula>J18="Need Improvement"</x:formula>
    </x:cfRule>
    <x:cfRule type="expression" dxfId="561" priority="52">
      <x:formula>J18="Priority"</x:formula>
    </x:cfRule>
  </x:conditionalFormatting>
  <x:conditionalFormatting sqref="J19:J19">
    <x:cfRule type="expression" dxfId="562" priority="53">
      <x:formula>J19="On Track"</x:formula>
    </x:cfRule>
    <x:cfRule type="expression" dxfId="563" priority="54">
      <x:formula>J19="Good"</x:formula>
    </x:cfRule>
    <x:cfRule type="expression" dxfId="564" priority="55">
      <x:formula>J19="Need Improvement"</x:formula>
    </x:cfRule>
    <x:cfRule type="expression" dxfId="565" priority="56">
      <x:formula>J19="Priority"</x:formula>
    </x:cfRule>
  </x:conditionalFormatting>
  <x:conditionalFormatting sqref="J20:J20">
    <x:cfRule type="expression" dxfId="566" priority="57">
      <x:formula>J20="On Track"</x:formula>
    </x:cfRule>
    <x:cfRule type="expression" dxfId="567" priority="58">
      <x:formula>J20="Good"</x:formula>
    </x:cfRule>
    <x:cfRule type="expression" dxfId="568" priority="59">
      <x:formula>J20="Need Improvement"</x:formula>
    </x:cfRule>
    <x:cfRule type="expression" dxfId="569" priority="60">
      <x:formula>J20="Priority"</x:formula>
    </x:cfRule>
  </x:conditionalFormatting>
  <x:conditionalFormatting sqref="J21:J21">
    <x:cfRule type="expression" dxfId="570" priority="61">
      <x:formula>J21="On Track"</x:formula>
    </x:cfRule>
    <x:cfRule type="expression" dxfId="571" priority="62">
      <x:formula>J21="Good"</x:formula>
    </x:cfRule>
    <x:cfRule type="expression" dxfId="572" priority="63">
      <x:formula>J21="Need Improvement"</x:formula>
    </x:cfRule>
    <x:cfRule type="expression" dxfId="573" priority="64">
      <x:formula>J21="Priority"</x:formula>
    </x:cfRule>
  </x:conditionalFormatting>
  <x:conditionalFormatting sqref="J22:J22">
    <x:cfRule type="expression" dxfId="574" priority="65">
      <x:formula>J22="On Track"</x:formula>
    </x:cfRule>
    <x:cfRule type="expression" dxfId="575" priority="66">
      <x:formula>J22="Good"</x:formula>
    </x:cfRule>
    <x:cfRule type="expression" dxfId="576" priority="67">
      <x:formula>J22="Need Improvement"</x:formula>
    </x:cfRule>
    <x:cfRule type="expression" dxfId="577" priority="68">
      <x:formula>J22="Priority"</x:formula>
    </x:cfRule>
  </x:conditionalFormatting>
  <x:conditionalFormatting sqref="J23:J23">
    <x:cfRule type="expression" dxfId="578" priority="69">
      <x:formula>J23="On Track"</x:formula>
    </x:cfRule>
    <x:cfRule type="expression" dxfId="579" priority="70">
      <x:formula>J23="Good"</x:formula>
    </x:cfRule>
    <x:cfRule type="expression" dxfId="580" priority="71">
      <x:formula>J23="Need Improvement"</x:formula>
    </x:cfRule>
    <x:cfRule type="expression" dxfId="581" priority="72">
      <x:formula>J23="Priority"</x:formula>
    </x:cfRule>
  </x:conditionalFormatting>
  <x:conditionalFormatting sqref="J24:J24">
    <x:cfRule type="expression" dxfId="582" priority="73">
      <x:formula>J24="On Track"</x:formula>
    </x:cfRule>
    <x:cfRule type="expression" dxfId="583" priority="74">
      <x:formula>J24="Good"</x:formula>
    </x:cfRule>
    <x:cfRule type="expression" dxfId="584" priority="75">
      <x:formula>J24="Need Improvement"</x:formula>
    </x:cfRule>
    <x:cfRule type="expression" dxfId="585" priority="76">
      <x:formula>J24="Priority"</x:formula>
    </x:cfRule>
  </x:conditionalFormatting>
  <x:conditionalFormatting sqref="J25:J25">
    <x:cfRule type="expression" dxfId="586" priority="77">
      <x:formula>J25="On Track"</x:formula>
    </x:cfRule>
    <x:cfRule type="expression" dxfId="587" priority="78">
      <x:formula>J25="Good"</x:formula>
    </x:cfRule>
    <x:cfRule type="expression" dxfId="588" priority="79">
      <x:formula>J25="Need Improvement"</x:formula>
    </x:cfRule>
    <x:cfRule type="expression" dxfId="589" priority="80">
      <x:formula>J25="Priority"</x:formula>
    </x:cfRule>
  </x:conditionalFormatting>
  <x:conditionalFormatting sqref="J26:J26">
    <x:cfRule type="expression" dxfId="590" priority="81">
      <x:formula>J26="On Track"</x:formula>
    </x:cfRule>
    <x:cfRule type="expression" dxfId="591" priority="82">
      <x:formula>J26="Good"</x:formula>
    </x:cfRule>
    <x:cfRule type="expression" dxfId="592" priority="83">
      <x:formula>J26="Need Improvement"</x:formula>
    </x:cfRule>
    <x:cfRule type="expression" dxfId="593" priority="84">
      <x:formula>J26="Priority"</x:formula>
    </x:cfRule>
  </x:conditionalFormatting>
  <x:conditionalFormatting sqref="J27:J27">
    <x:cfRule type="expression" dxfId="594" priority="85">
      <x:formula>J27="On Track"</x:formula>
    </x:cfRule>
    <x:cfRule type="expression" dxfId="595" priority="86">
      <x:formula>J27="Good"</x:formula>
    </x:cfRule>
    <x:cfRule type="expression" dxfId="596" priority="87">
      <x:formula>J27="Need Improvement"</x:formula>
    </x:cfRule>
    <x:cfRule type="expression" dxfId="597" priority="88">
      <x:formula>J27="Priority"</x:formula>
    </x:cfRule>
  </x:conditionalFormatting>
  <x:conditionalFormatting sqref="J28:J28">
    <x:cfRule type="expression" dxfId="598" priority="89">
      <x:formula>J28="On Track"</x:formula>
    </x:cfRule>
    <x:cfRule type="expression" dxfId="599" priority="90">
      <x:formula>J28="Good"</x:formula>
    </x:cfRule>
    <x:cfRule type="expression" dxfId="600" priority="91">
      <x:formula>J28="Need Improvement"</x:formula>
    </x:cfRule>
    <x:cfRule type="expression" dxfId="601" priority="92">
      <x:formula>J28="Priority"</x:formula>
    </x:cfRule>
  </x:conditionalFormatting>
  <x:conditionalFormatting sqref="J29:J29">
    <x:cfRule type="expression" dxfId="602" priority="93">
      <x:formula>J29="On Track"</x:formula>
    </x:cfRule>
    <x:cfRule type="expression" dxfId="603" priority="94">
      <x:formula>J29="Good"</x:formula>
    </x:cfRule>
    <x:cfRule type="expression" dxfId="604" priority="95">
      <x:formula>J29="Need Improvement"</x:formula>
    </x:cfRule>
    <x:cfRule type="expression" dxfId="605" priority="96">
      <x:formula>J29="Priority"</x:formula>
    </x:cfRule>
  </x:conditionalFormatting>
  <x:conditionalFormatting sqref="J30:J30">
    <x:cfRule type="expression" dxfId="606" priority="97">
      <x:formula>J30="On Track"</x:formula>
    </x:cfRule>
    <x:cfRule type="expression" dxfId="607" priority="98">
      <x:formula>J30="Good"</x:formula>
    </x:cfRule>
    <x:cfRule type="expression" dxfId="608" priority="99">
      <x:formula>J30="Need Improvement"</x:formula>
    </x:cfRule>
    <x:cfRule type="expression" dxfId="609" priority="100">
      <x:formula>J30="Priority"</x:formula>
    </x:cfRule>
  </x:conditionalFormatting>
  <x:conditionalFormatting sqref="J31:J31">
    <x:cfRule type="expression" dxfId="610" priority="101">
      <x:formula>J31="On Track"</x:formula>
    </x:cfRule>
    <x:cfRule type="expression" dxfId="611" priority="102">
      <x:formula>J31="Good"</x:formula>
    </x:cfRule>
    <x:cfRule type="expression" dxfId="612" priority="103">
      <x:formula>J31="Need Improvement"</x:formula>
    </x:cfRule>
    <x:cfRule type="expression" dxfId="613" priority="104">
      <x:formula>J31="Priority"</x:formula>
    </x:cfRule>
  </x:conditionalFormatting>
  <x:conditionalFormatting sqref="J32:J32">
    <x:cfRule type="expression" dxfId="614" priority="105">
      <x:formula>J32="On Track"</x:formula>
    </x:cfRule>
    <x:cfRule type="expression" dxfId="615" priority="106">
      <x:formula>J32="Good"</x:formula>
    </x:cfRule>
    <x:cfRule type="expression" dxfId="616" priority="107">
      <x:formula>J32="Need Improvement"</x:formula>
    </x:cfRule>
    <x:cfRule type="expression" dxfId="617" priority="108">
      <x:formula>J32="Priority"</x:formula>
    </x:cfRule>
  </x:conditionalFormatting>
  <x:conditionalFormatting sqref="J33:J33">
    <x:cfRule type="expression" dxfId="618" priority="109">
      <x:formula>J33="On Track"</x:formula>
    </x:cfRule>
    <x:cfRule type="expression" dxfId="619" priority="110">
      <x:formula>J33="Good"</x:formula>
    </x:cfRule>
    <x:cfRule type="expression" dxfId="620" priority="111">
      <x:formula>J33="Need Improvement"</x:formula>
    </x:cfRule>
    <x:cfRule type="expression" dxfId="621" priority="112">
      <x:formula>J33="Priority"</x:formula>
    </x:cfRule>
  </x:conditionalFormatting>
  <x:conditionalFormatting sqref="J34:J34">
    <x:cfRule type="expression" dxfId="622" priority="113">
      <x:formula>J34="On Track"</x:formula>
    </x:cfRule>
    <x:cfRule type="expression" dxfId="623" priority="114">
      <x:formula>J34="Good"</x:formula>
    </x:cfRule>
    <x:cfRule type="expression" dxfId="624" priority="115">
      <x:formula>J34="Need Improvement"</x:formula>
    </x:cfRule>
    <x:cfRule type="expression" dxfId="625" priority="116">
      <x:formula>J34="Priority"</x:formula>
    </x:cfRule>
  </x:conditionalFormatting>
  <x:conditionalFormatting sqref="J35:J35">
    <x:cfRule type="expression" dxfId="626" priority="117">
      <x:formula>J35="On Track"</x:formula>
    </x:cfRule>
    <x:cfRule type="expression" dxfId="627" priority="118">
      <x:formula>J35="Good"</x:formula>
    </x:cfRule>
    <x:cfRule type="expression" dxfId="628" priority="119">
      <x:formula>J35="Need Improvement"</x:formula>
    </x:cfRule>
    <x:cfRule type="expression" dxfId="629" priority="120">
      <x:formula>J35="Priority"</x:formula>
    </x:cfRule>
  </x:conditionalFormatting>
  <x:conditionalFormatting sqref="J36:J36">
    <x:cfRule type="expression" dxfId="630" priority="121">
      <x:formula>J36="On Track"</x:formula>
    </x:cfRule>
    <x:cfRule type="expression" dxfId="631" priority="122">
      <x:formula>J36="Good"</x:formula>
    </x:cfRule>
    <x:cfRule type="expression" dxfId="632" priority="123">
      <x:formula>J36="Need Improvement"</x:formula>
    </x:cfRule>
    <x:cfRule type="expression" dxfId="633" priority="124">
      <x:formula>J36="Priority"</x:formula>
    </x:cfRule>
  </x:conditionalFormatting>
  <x:conditionalFormatting sqref="J37:J37">
    <x:cfRule type="expression" dxfId="634" priority="125">
      <x:formula>J37="On Track"</x:formula>
    </x:cfRule>
    <x:cfRule type="expression" dxfId="635" priority="126">
      <x:formula>J37="Good"</x:formula>
    </x:cfRule>
    <x:cfRule type="expression" dxfId="636" priority="127">
      <x:formula>J37="Need Improvement"</x:formula>
    </x:cfRule>
    <x:cfRule type="expression" dxfId="637" priority="128">
      <x:formula>J37="Priority"</x:formula>
    </x:cfRule>
  </x:conditionalFormatting>
  <x:conditionalFormatting sqref="J38:J38">
    <x:cfRule type="expression" dxfId="638" priority="129">
      <x:formula>J38="On Track"</x:formula>
    </x:cfRule>
    <x:cfRule type="expression" dxfId="639" priority="130">
      <x:formula>J38="Good"</x:formula>
    </x:cfRule>
    <x:cfRule type="expression" dxfId="640" priority="131">
      <x:formula>J38="Need Improvement"</x:formula>
    </x:cfRule>
    <x:cfRule type="expression" dxfId="641" priority="132">
      <x:formula>J38="Priority"</x:formula>
    </x:cfRule>
  </x:conditionalFormatting>
  <x:conditionalFormatting sqref="J39:J39">
    <x:cfRule type="expression" dxfId="642" priority="133">
      <x:formula>J39="On Track"</x:formula>
    </x:cfRule>
    <x:cfRule type="expression" dxfId="643" priority="134">
      <x:formula>J39="Good"</x:formula>
    </x:cfRule>
    <x:cfRule type="expression" dxfId="644" priority="135">
      <x:formula>J39="Need Improvement"</x:formula>
    </x:cfRule>
    <x:cfRule type="expression" dxfId="645" priority="136">
      <x:formula>J39="Priority"</x:formula>
    </x:cfRule>
  </x:conditionalFormatting>
  <x:conditionalFormatting sqref="J40:J40">
    <x:cfRule type="expression" dxfId="646" priority="137">
      <x:formula>J40="On Track"</x:formula>
    </x:cfRule>
    <x:cfRule type="expression" dxfId="647" priority="138">
      <x:formula>J40="Good"</x:formula>
    </x:cfRule>
    <x:cfRule type="expression" dxfId="648" priority="139">
      <x:formula>J40="Need Improvement"</x:formula>
    </x:cfRule>
    <x:cfRule type="expression" dxfId="649" priority="140">
      <x:formula>J40="Priority"</x:formula>
    </x:cfRule>
  </x:conditionalFormatting>
  <x:conditionalFormatting sqref="J41:J41">
    <x:cfRule type="expression" dxfId="650" priority="141">
      <x:formula>J41="On Track"</x:formula>
    </x:cfRule>
    <x:cfRule type="expression" dxfId="651" priority="142">
      <x:formula>J41="Good"</x:formula>
    </x:cfRule>
    <x:cfRule type="expression" dxfId="652" priority="143">
      <x:formula>J41="Need Improvement"</x:formula>
    </x:cfRule>
    <x:cfRule type="expression" dxfId="653" priority="144">
      <x:formula>J41="Priority"</x:formula>
    </x:cfRule>
  </x:conditionalFormatting>
  <x:conditionalFormatting sqref="J42:J42">
    <x:cfRule type="expression" dxfId="654" priority="145">
      <x:formula>J42="On Track"</x:formula>
    </x:cfRule>
    <x:cfRule type="expression" dxfId="655" priority="146">
      <x:formula>J42="Good"</x:formula>
    </x:cfRule>
    <x:cfRule type="expression" dxfId="656" priority="147">
      <x:formula>J42="Need Improvement"</x:formula>
    </x:cfRule>
    <x:cfRule type="expression" dxfId="657" priority="148">
      <x:formula>J42="Priority"</x:formula>
    </x:cfRule>
  </x:conditionalFormatting>
  <x:conditionalFormatting sqref="J43:J43">
    <x:cfRule type="expression" dxfId="658" priority="149">
      <x:formula>J43="On Track"</x:formula>
    </x:cfRule>
    <x:cfRule type="expression" dxfId="659" priority="150">
      <x:formula>J43="Good"</x:formula>
    </x:cfRule>
    <x:cfRule type="expression" dxfId="660" priority="151">
      <x:formula>J43="Need Improvement"</x:formula>
    </x:cfRule>
    <x:cfRule type="expression" dxfId="661" priority="152">
      <x:formula>J43="Priority"</x:formula>
    </x:cfRule>
  </x:conditionalFormatting>
  <x:conditionalFormatting sqref="J44:J44">
    <x:cfRule type="expression" dxfId="662" priority="153">
      <x:formula>J44="On Track"</x:formula>
    </x:cfRule>
    <x:cfRule type="expression" dxfId="663" priority="154">
      <x:formula>J44="Good"</x:formula>
    </x:cfRule>
    <x:cfRule type="expression" dxfId="664" priority="155">
      <x:formula>J44="Need Improvement"</x:formula>
    </x:cfRule>
    <x:cfRule type="expression" dxfId="665" priority="156">
      <x:formula>J44="Priority"</x:formula>
    </x:cfRule>
  </x:conditionalFormatting>
  <x:conditionalFormatting sqref="J45:J45">
    <x:cfRule type="expression" dxfId="666" priority="157">
      <x:formula>J45="On Track"</x:formula>
    </x:cfRule>
    <x:cfRule type="expression" dxfId="667" priority="158">
      <x:formula>J45="Good"</x:formula>
    </x:cfRule>
    <x:cfRule type="expression" dxfId="668" priority="159">
      <x:formula>J45="Need Improvement"</x:formula>
    </x:cfRule>
    <x:cfRule type="expression" dxfId="669" priority="160">
      <x:formula>J45="Priority"</x:formula>
    </x:cfRule>
  </x:conditionalFormatting>
  <x:conditionalFormatting sqref="J46:J46">
    <x:cfRule type="expression" dxfId="670" priority="161">
      <x:formula>J46="On Track"</x:formula>
    </x:cfRule>
    <x:cfRule type="expression" dxfId="671" priority="162">
      <x:formula>J46="Good"</x:formula>
    </x:cfRule>
    <x:cfRule type="expression" dxfId="672" priority="163">
      <x:formula>J46="Need Improvement"</x:formula>
    </x:cfRule>
    <x:cfRule type="expression" dxfId="673" priority="164">
      <x:formula>J46="Priority"</x:formula>
    </x:cfRule>
  </x:conditionalFormatting>
  <x:conditionalFormatting sqref="J47:J47">
    <x:cfRule type="expression" dxfId="674" priority="165">
      <x:formula>J47="On Track"</x:formula>
    </x:cfRule>
    <x:cfRule type="expression" dxfId="675" priority="166">
      <x:formula>J47="Good"</x:formula>
    </x:cfRule>
    <x:cfRule type="expression" dxfId="676" priority="167">
      <x:formula>J47="Need Improvement"</x:formula>
    </x:cfRule>
    <x:cfRule type="expression" dxfId="677" priority="168">
      <x:formula>J47="Priority"</x:formula>
    </x:cfRule>
  </x:conditionalFormatting>
  <x:conditionalFormatting sqref="J48:J48">
    <x:cfRule type="expression" dxfId="678" priority="169">
      <x:formula>J48="On Track"</x:formula>
    </x:cfRule>
    <x:cfRule type="expression" dxfId="679" priority="170">
      <x:formula>J48="Good"</x:formula>
    </x:cfRule>
    <x:cfRule type="expression" dxfId="680" priority="171">
      <x:formula>J48="Need Improvement"</x:formula>
    </x:cfRule>
    <x:cfRule type="expression" dxfId="681" priority="172">
      <x:formula>J48="Priority"</x:formula>
    </x:cfRule>
  </x:conditionalFormatting>
  <x:conditionalFormatting sqref="J49:J49">
    <x:cfRule type="expression" dxfId="682" priority="173">
      <x:formula>J49="On Track"</x:formula>
    </x:cfRule>
    <x:cfRule type="expression" dxfId="683" priority="174">
      <x:formula>J49="Good"</x:formula>
    </x:cfRule>
    <x:cfRule type="expression" dxfId="684" priority="175">
      <x:formula>J49="Need Improvement"</x:formula>
    </x:cfRule>
    <x:cfRule type="expression" dxfId="685" priority="176">
      <x:formula>J49="Priority"</x:formula>
    </x:cfRule>
  </x:conditionalFormatting>
  <x:conditionalFormatting sqref="J50:J50">
    <x:cfRule type="expression" dxfId="686" priority="177">
      <x:formula>J50="On Track"</x:formula>
    </x:cfRule>
    <x:cfRule type="expression" dxfId="687" priority="178">
      <x:formula>J50="Good"</x:formula>
    </x:cfRule>
    <x:cfRule type="expression" dxfId="688" priority="179">
      <x:formula>J50="Need Improvement"</x:formula>
    </x:cfRule>
    <x:cfRule type="expression" dxfId="689" priority="180">
      <x:formula>J50="Priority"</x:formula>
    </x:cfRule>
  </x:conditionalFormatting>
  <x:conditionalFormatting sqref="J51:J51">
    <x:cfRule type="expression" dxfId="690" priority="181">
      <x:formula>J51="On Track"</x:formula>
    </x:cfRule>
    <x:cfRule type="expression" dxfId="691" priority="182">
      <x:formula>J51="Good"</x:formula>
    </x:cfRule>
    <x:cfRule type="expression" dxfId="692" priority="183">
      <x:formula>J51="Need Improvement"</x:formula>
    </x:cfRule>
    <x:cfRule type="expression" dxfId="693" priority="184">
      <x:formula>J51="Priority"</x:formula>
    </x:cfRule>
  </x:conditionalFormatting>
  <x:conditionalFormatting sqref="J52:J52">
    <x:cfRule type="expression" dxfId="694" priority="185">
      <x:formula>J52="On Track"</x:formula>
    </x:cfRule>
    <x:cfRule type="expression" dxfId="695" priority="186">
      <x:formula>J52="Good"</x:formula>
    </x:cfRule>
    <x:cfRule type="expression" dxfId="696" priority="187">
      <x:formula>J52="Need Improvement"</x:formula>
    </x:cfRule>
    <x:cfRule type="expression" dxfId="697" priority="188">
      <x:formula>J52="Priority"</x:formula>
    </x:cfRule>
  </x:conditionalFormatting>
  <x:conditionalFormatting sqref="J53:J53">
    <x:cfRule type="expression" dxfId="698" priority="189">
      <x:formula>J53="On Track"</x:formula>
    </x:cfRule>
    <x:cfRule type="expression" dxfId="699" priority="190">
      <x:formula>J53="Good"</x:formula>
    </x:cfRule>
    <x:cfRule type="expression" dxfId="700" priority="191">
      <x:formula>J53="Need Improvement"</x:formula>
    </x:cfRule>
    <x:cfRule type="expression" dxfId="701" priority="192">
      <x:formula>J53="Priority"</x:formula>
    </x:cfRule>
  </x:conditionalFormatting>
  <x:conditionalFormatting sqref="J54:J54">
    <x:cfRule type="expression" dxfId="702" priority="193">
      <x:formula>J54="On Track"</x:formula>
    </x:cfRule>
    <x:cfRule type="expression" dxfId="703" priority="194">
      <x:formula>J54="Good"</x:formula>
    </x:cfRule>
    <x:cfRule type="expression" dxfId="704" priority="195">
      <x:formula>J54="Need Improvement"</x:formula>
    </x:cfRule>
    <x:cfRule type="expression" dxfId="705" priority="196">
      <x:formula>J54="Priority"</x:formula>
    </x:cfRule>
  </x:conditionalFormatting>
  <x:conditionalFormatting sqref="J55:J55">
    <x:cfRule type="expression" dxfId="706" priority="197">
      <x:formula>J55="On Track"</x:formula>
    </x:cfRule>
    <x:cfRule type="expression" dxfId="707" priority="198">
      <x:formula>J55="Good"</x:formula>
    </x:cfRule>
    <x:cfRule type="expression" dxfId="708" priority="199">
      <x:formula>J55="Need Improvement"</x:formula>
    </x:cfRule>
    <x:cfRule type="expression" dxfId="709" priority="200">
      <x:formula>J55="Priority"</x:formula>
    </x:cfRule>
  </x:conditionalFormatting>
  <x:conditionalFormatting sqref="J56:J56">
    <x:cfRule type="expression" dxfId="710" priority="201">
      <x:formula>J56="On Track"</x:formula>
    </x:cfRule>
    <x:cfRule type="expression" dxfId="711" priority="202">
      <x:formula>J56="Good"</x:formula>
    </x:cfRule>
    <x:cfRule type="expression" dxfId="712" priority="203">
      <x:formula>J56="Need Improvement"</x:formula>
    </x:cfRule>
    <x:cfRule type="expression" dxfId="713" priority="204">
      <x:formula>J56="Priority"</x:formula>
    </x:cfRule>
  </x:conditionalFormatting>
  <x:conditionalFormatting sqref="J57:J57">
    <x:cfRule type="expression" dxfId="714" priority="205">
      <x:formula>J57="On Track"</x:formula>
    </x:cfRule>
    <x:cfRule type="expression" dxfId="715" priority="206">
      <x:formula>J57="Good"</x:formula>
    </x:cfRule>
    <x:cfRule type="expression" dxfId="716" priority="207">
      <x:formula>J57="Need Improvement"</x:formula>
    </x:cfRule>
    <x:cfRule type="expression" dxfId="717" priority="208">
      <x:formula>J57="Priority"</x:formula>
    </x:cfRule>
  </x:conditionalFormatting>
  <x:conditionalFormatting sqref="J58:J58">
    <x:cfRule type="expression" dxfId="718" priority="209">
      <x:formula>J58="On Track"</x:formula>
    </x:cfRule>
    <x:cfRule type="expression" dxfId="719" priority="210">
      <x:formula>J58="Good"</x:formula>
    </x:cfRule>
    <x:cfRule type="expression" dxfId="720" priority="211">
      <x:formula>J58="Need Improvement"</x:formula>
    </x:cfRule>
    <x:cfRule type="expression" dxfId="721" priority="212">
      <x:formula>J58="Priority"</x:formula>
    </x:cfRule>
  </x:conditionalFormatting>
  <x:conditionalFormatting sqref="J59:J59">
    <x:cfRule type="expression" dxfId="722" priority="213">
      <x:formula>J59="On Track"</x:formula>
    </x:cfRule>
    <x:cfRule type="expression" dxfId="723" priority="214">
      <x:formula>J59="Good"</x:formula>
    </x:cfRule>
    <x:cfRule type="expression" dxfId="724" priority="215">
      <x:formula>J59="Need Improvement"</x:formula>
    </x:cfRule>
    <x:cfRule type="expression" dxfId="725" priority="216">
      <x:formula>J59="Priority"</x:formula>
    </x:cfRule>
  </x:conditionalFormatting>
  <x:conditionalFormatting sqref="J60:J60">
    <x:cfRule type="expression" dxfId="726" priority="217">
      <x:formula>J60="On Track"</x:formula>
    </x:cfRule>
    <x:cfRule type="expression" dxfId="727" priority="218">
      <x:formula>J60="Good"</x:formula>
    </x:cfRule>
    <x:cfRule type="expression" dxfId="728" priority="219">
      <x:formula>J60="Need Improvement"</x:formula>
    </x:cfRule>
    <x:cfRule type="expression" dxfId="729" priority="220">
      <x:formula>J60="Priority"</x:formula>
    </x:cfRule>
  </x:conditionalFormatting>
  <x:conditionalFormatting sqref="J61:J61">
    <x:cfRule type="expression" dxfId="730" priority="221">
      <x:formula>J61="On Track"</x:formula>
    </x:cfRule>
    <x:cfRule type="expression" dxfId="731" priority="222">
      <x:formula>J61="Good"</x:formula>
    </x:cfRule>
    <x:cfRule type="expression" dxfId="732" priority="223">
      <x:formula>J61="Need Improvement"</x:formula>
    </x:cfRule>
    <x:cfRule type="expression" dxfId="733" priority="224">
      <x:formula>J61="Priority"</x:formula>
    </x:cfRule>
  </x:conditionalFormatting>
  <x:conditionalFormatting sqref="J62:J62">
    <x:cfRule type="expression" dxfId="734" priority="225">
      <x:formula>J62="On Track"</x:formula>
    </x:cfRule>
    <x:cfRule type="expression" dxfId="735" priority="226">
      <x:formula>J62="Good"</x:formula>
    </x:cfRule>
    <x:cfRule type="expression" dxfId="736" priority="227">
      <x:formula>J62="Need Improvement"</x:formula>
    </x:cfRule>
    <x:cfRule type="expression" dxfId="737" priority="228">
      <x:formula>J62="Priority"</x:formula>
    </x:cfRule>
  </x:conditionalFormatting>
  <x:conditionalFormatting sqref="J63:J63">
    <x:cfRule type="expression" dxfId="738" priority="229">
      <x:formula>J63="On Track"</x:formula>
    </x:cfRule>
    <x:cfRule type="expression" dxfId="739" priority="230">
      <x:formula>J63="Good"</x:formula>
    </x:cfRule>
    <x:cfRule type="expression" dxfId="740" priority="231">
      <x:formula>J63="Need Improvement"</x:formula>
    </x:cfRule>
    <x:cfRule type="expression" dxfId="741" priority="232">
      <x:formula>J63="Priority"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KEPALA PRODUKSI / SUPERVISOR PRODUKSI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Operations</x:v>
      </x:c>
      <x:c r="C2" s="26" t="str">
        <x:v>KPI Code</x:v>
      </x:c>
      <x:c r="D2" s="16" t="str">
        <x:v>KPI-OPS-HEAD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Manajer / Owner</x:v>
      </x:c>
      <x:c r="C3" s="26" t="str">
        <x:v>Headcount Reference</x:v>
      </x:c>
      <x:c r="D3" s="16" t="str">
        <x:v>1</x:v>
      </x:c>
      <x:c r="E3" s="26" t="str">
        <x:v>Applicable KPI</x:v>
      </x:c>
      <x:c r="F3" s="16" t="n">
        <x:v>3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Kendali Proses, Mutu &amp; SOP</x:v>
      </x:c>
      <x:c r="C7" s="68" t="n">
        <x:v>0.4615384615384615</x:v>
      </x:c>
      <x:c r="D7" s="46" t="n">
        <x:f>B22</x:f>
        <x:v>0</x:v>
      </x:c>
      <x:c r="E7" s="46" t="n">
        <x:f>D22</x:f>
        <x:v>0</x:v>
      </x:c>
      <x:c r="F7" s="46" t="str">
        <x:f>F22</x:f>
        <x:v>Waiting for Input</x:v>
      </x:c>
      <x:c r="G7" s="16" t="str">
        <x:v>WI-OPS-008, WI-OPS-010, WI-OPS-011, WI-OPS-012
Bukti: briefing log, QC form, defect/rework log.</x:v>
      </x:c>
      <x:c r="H7" s="16" t="str">
        <x:v>RC-KPI-OPS-HEAD-01</x:v>
      </x:c>
    </x:row>
    <x:row r="8" ht="36" customHeight="1">
      <x:c r="A8" s="16" t="n">
        <x:v>2</x:v>
      </x:c>
      <x:c r="B8" s="16" t="str">
        <x:v>Kesiapan Mesin &amp; Asset Care</x:v>
      </x:c>
      <x:c r="C8" s="68" t="n">
        <x:v>0.3076923076923077</x:v>
      </x:c>
      <x:c r="D8" s="46" t="n">
        <x:f>B37</x:f>
        <x:v>0</x:v>
      </x:c>
      <x:c r="E8" s="46" t="n">
        <x:f>D37</x:f>
        <x:v>0</x:v>
      </x:c>
      <x:c r="F8" s="46" t="str">
        <x:f>F37</x:f>
        <x:v>Waiting for Input</x:v>
      </x:c>
      <x:c r="G8" s="16" t="str">
        <x:v>WI-OPS-007
Bukti: checklist mesin, log servis, laporan kerusakan.</x:v>
      </x:c>
      <x:c r="H8" s="16" t="str">
        <x:v>RC-KPI-OPS-HEAD-02</x:v>
      </x:c>
    </x:row>
    <x:row r="9" ht="36" customHeight="1">
      <x:c r="A9" s="16" t="n">
        <x:v>3</x:v>
      </x:c>
      <x:c r="B9" s="16" t="str">
        <x:v>Koordinasi &amp; Continuous Improvement</x:v>
      </x:c>
      <x:c r="C9" s="68" t="n">
        <x:v>0.23076923076923075</x:v>
      </x:c>
      <x:c r="D9" s="46" t="n">
        <x:f>B52</x:f>
        <x:v>0</x:v>
      </x:c>
      <x:c r="E9" s="46" t="n">
        <x:f>D52</x:f>
        <x:v>0</x:v>
      </x:c>
      <x:c r="F9" s="46" t="str">
        <x:f>F52</x:f>
        <x:v>Waiting for Input</x:v>
      </x:c>
      <x:c r="G9" s="16" t="str">
        <x:v>WI-OPS-003, WI-OPS-004, WI-OPS-016
Bukti: notulen rapat, action plan, rekap operasional.</x:v>
      </x:c>
      <x:c r="H9" s="16" t="str">
        <x:v>RC-KPI-OPS-HEAD-03</x:v>
      </x:c>
    </x:row>
    <x:row r="10">
      <x:c r="A10" s="62" t="str">
        <x:v>Overall Role Score</x:v>
      </x:c>
      <x:c r="B10" s="52"/>
      <x:c r="C10" s="26" t="str">
        <x:v>Total Weight</x:v>
      </x:c>
      <x:c r="D10" s="68" t="n">
        <x:f>SUM(C7:C9)</x:f>
        <x:v>0.9999999999999999</x:v>
      </x:c>
      <x:c r="E10" s="46" t="str">
        <x:f>IF(COUNT(D19:D21,D34:D36,D49:D51)=0,"",SUM(E7:E9))</x:f>
      </x:c>
      <x:c r="F10" s="26" t="str">
        <x:v>Overall Status</x:v>
      </x:c>
      <x:c r="G10" s="46" t="str">
        <x:f>IF(COUNT(D19:D21,D34:D36,D49:D51)=0,"Waiting for Input",IF(E10&gt;=90,"On Track",IF(E10&gt;=80,"Good",IF(E10&gt;=70,"Need Improvement","Priority"))))</x:f>
        <x:v>Waiting for Input</x:v>
      </x:c>
      <x:c r="H10" s="52"/>
    </x:row>
    <x:row r="11" ht="22" customHeight="1">
      <x:c r="A11" s="16" t="str">
        <x:v>Fill yellow cells only. Score output is calculated from the average Achievement % of KPI details in each card.</x:v>
      </x:c>
      <x:c r="B11" s="52"/>
      <x:c r="C11" s="52"/>
      <x:c r="D11" s="52"/>
      <x:c r="E11" s="52"/>
      <x:c r="F11" s="52"/>
      <x:c r="G11" s="52"/>
      <x:c r="H11" s="52"/>
    </x:row>
    <x:row r="12" ht="24" customHeight="1">
      <x:c r="A12" s="62" t="str">
        <x:v>RC-KPI-OPS-HEAD-01 — Kendali Proses, Mutu &amp; SOP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26" t="str">
        <x:v>KPI / Phase</x:v>
      </x:c>
      <x:c r="B13" s="16" t="str">
        <x:v>Kendali Proses, Mutu &amp; SOP</x:v>
      </x:c>
      <x:c r="C13" s="52"/>
      <x:c r="D13" s="52"/>
      <x:c r="E13" s="52"/>
      <x:c r="F13" s="52"/>
      <x:c r="G13" s="52"/>
      <x:c r="H13" s="52"/>
    </x:row>
    <x:row r="14" ht="30" customHeight="1">
      <x:c r="A14" s="26" t="str">
        <x:v>Adjusted Weight</x:v>
      </x:c>
      <x:c r="B14" s="68" t="n">
        <x:v>0.4615384615384615</x:v>
      </x:c>
      <x:c r="C14" s="26" t="str">
        <x:v>WI Reference</x:v>
      </x:c>
      <x:c r="D14" s="16" t="str">
        <x:v>WI-OPS-008, WI-OPS-010, WI-OPS-011, WI-OPS-012
Bukti: briefing log, QC form, defect/rework log.</x:v>
      </x:c>
      <x:c r="E14" s="52"/>
      <x:c r="F14" s="52"/>
      <x:c r="G14" s="52"/>
      <x:c r="H14" s="52"/>
    </x:row>
    <x:row r="15" ht="36" customHeight="1">
      <x:c r="A15" s="26" t="str">
        <x:v>Objective</x:v>
      </x:c>
      <x:c r="B15" s="16" t="str">
        <x:v>Menjaga semua proses mengikuti WO, blueprint, dan standar QC sehingga kesalahan tidak berulang dan rework terkendali.</x:v>
      </x:c>
      <x:c r="C15" s="52"/>
      <x:c r="D15" s="52"/>
      <x:c r="E15" s="52"/>
      <x:c r="F15" s="52"/>
      <x:c r="G15" s="52"/>
      <x:c r="H15" s="52"/>
    </x:row>
    <x:row r="16" ht="32" customHeight="1">
      <x:c r="A16" s="26" t="str">
        <x:v>Target Baseline</x:v>
      </x:c>
      <x:c r="B16" s="16" t="str">
        <x:v>100% briefing &amp; tindakan korektif; reject/rework ≤3% dari output.</x:v>
      </x:c>
      <x:c r="C16" s="52"/>
      <x:c r="D16" s="52"/>
      <x:c r="E16" s="52"/>
      <x:c r="F16" s="52"/>
      <x:c r="G16" s="52"/>
      <x:c r="H16" s="52"/>
    </x:row>
    <x:row r="17">
      <x:c r="A17" s="52"/>
      <x:c r="B17" s="52"/>
      <x:c r="C17" s="52"/>
      <x:c r="D17" s="52"/>
      <x:c r="E17" s="52"/>
      <x:c r="F17" s="52"/>
      <x:c r="G17" s="52"/>
      <x:c r="H17" s="52"/>
    </x:row>
    <x:row r="18" ht="36" customHeight="1">
      <x:c r="A18" s="36" t="str">
        <x:v>No.</x:v>
      </x:c>
      <x:c r="B18" s="36" t="str">
        <x:v>KPI Detail / What to Check</x:v>
      </x:c>
      <x:c r="C18" s="36" t="str">
        <x:v>Actual Result</x:v>
      </x:c>
      <x:c r="D18" s="36" t="str">
        <x:v>Achievement %
(0–100)</x:v>
      </x:c>
      <x:c r="E18" s="36" t="str">
        <x:v>Evidence / Proof</x:v>
      </x:c>
      <x:c r="F18" s="36" t="str">
        <x:v>Status</x:v>
      </x:c>
      <x:c r="G18" s="36" t="str">
        <x:v>Issue / Root Cause</x:v>
      </x:c>
      <x:c r="H18" s="36" t="str">
        <x:v>Action / Follow-up</x:v>
      </x:c>
    </x:row>
    <x:row r="19" ht="52" customHeight="1">
      <x:c r="A19" s="16" t="n">
        <x:v>1</x:v>
      </x:c>
      <x:c r="B19" s="16" t="str">
        <x:v>Briefing target kerja dilakukan setiap hari kerja.</x:v>
      </x:c>
      <x:c r="C19" s="54" t="str"/>
      <x:c r="D19" s="54" t="str"/>
      <x:c r="E19" s="54" t="str"/>
      <x:c r="F19" s="46" t="str">
        <x:f>IF(D19="","",IF(D19&gt;=90,"On Track",IF(D19&gt;=80,"Good",IF(D19&gt;=70,"Need Improvement","Priority"))))</x:f>
      </x:c>
      <x:c r="G19" s="54" t="str"/>
      <x:c r="H19" s="54" t="str"/>
    </x:row>
    <x:row r="20" ht="52" customHeight="1">
      <x:c r="A20" s="16" t="n">
        <x:v>2</x:v>
      </x:c>
      <x:c r="B20" s="16" t="str">
        <x:v>100% deviasi SOP/defect berulang diberi tindakan korektif.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3</x:v>
      </x:c>
      <x:c r="B21" s="16" t="str">
        <x:v>Reject + rework total ≤3% dari output atau target produk yang disetujui.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>
      <x:c r="A22" s="26" t="str">
        <x:v>Card Score</x:v>
      </x:c>
      <x:c r="B22" s="46" t="str">
        <x:f>IF(COUNT(D19:D21)=0,"",AVERAGE(D19:D21))</x:f>
      </x:c>
      <x:c r="C22" s="26" t="str">
        <x:v>Weighted Score</x:v>
      </x:c>
      <x:c r="D22" s="46" t="str">
        <x:f>IF(B22="","",B22*$B$14)</x:f>
      </x:c>
      <x:c r="E22" s="26" t="str">
        <x:v>Card Status</x:v>
      </x:c>
      <x:c r="F22" s="46" t="str">
        <x:f>IF(COUNT(D19:D21)=0,"Waiting for Input",IF(B22&gt;=90,"On Track",IF(B22&gt;=80,"Good",IF(B22&gt;=70,"Need Improvement","Priority"))))</x:f>
        <x:v>Waiting for Input</x:v>
      </x:c>
      <x:c r="G22" s="52"/>
      <x:c r="H22" s="52"/>
    </x:row>
    <x:row r="23" ht="34" customHeight="1">
      <x:c r="A23" s="26" t="str">
        <x:v>Overall Root Cause / Key Finding</x:v>
      </x:c>
      <x:c r="B23" s="54" t="str"/>
      <x:c r="C23" s="52"/>
      <x:c r="D23" s="52"/>
      <x:c r="E23" s="52"/>
      <x:c r="F23" s="52"/>
      <x:c r="G23" s="52"/>
      <x:c r="H23" s="52"/>
    </x:row>
    <x:row r="24" ht="34" customHeight="1">
      <x:c r="A24" s="26" t="str">
        <x:v>Action Plan, PIC &amp; Due Date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Reviewer Note</x:v>
      </x:c>
      <x:c r="B25" s="54" t="str"/>
      <x:c r="C25" s="52"/>
      <x:c r="D25" s="52"/>
      <x:c r="E25" s="52"/>
      <x:c r="F25" s="52"/>
      <x:c r="G25" s="52"/>
      <x:c r="H25" s="52"/>
    </x:row>
    <x:row r="26">
      <x:c r="A26" s="52"/>
      <x:c r="B26" s="52"/>
      <x:c r="C26" s="52"/>
      <x:c r="D26" s="52"/>
      <x:c r="E26" s="52"/>
      <x:c r="F26" s="52"/>
      <x:c r="G26" s="52"/>
      <x:c r="H26" s="52"/>
    </x:row>
    <x:row r="27" ht="24" customHeight="1">
      <x:c r="A27" s="62" t="str">
        <x:v>RC-KPI-OPS-HEAD-02 — Kesiapan Mesin &amp; Asset Care</x:v>
      </x:c>
      <x:c r="B27" s="52"/>
      <x:c r="C27" s="52"/>
      <x:c r="D27" s="52"/>
      <x:c r="E27" s="52"/>
      <x:c r="F27" s="52"/>
      <x:c r="G27" s="52"/>
      <x:c r="H27" s="52"/>
    </x:row>
    <x:row r="28" ht="24" customHeight="1">
      <x:c r="A28" s="26" t="str">
        <x:v>KPI / Phase</x:v>
      </x:c>
      <x:c r="B28" s="16" t="str">
        <x:v>Kesiapan Mesin &amp; Asset Care</x:v>
      </x:c>
      <x:c r="C28" s="52"/>
      <x:c r="D28" s="52"/>
      <x:c r="E28" s="52"/>
      <x:c r="F28" s="52"/>
      <x:c r="G28" s="52"/>
      <x:c r="H28" s="52"/>
    </x:row>
    <x:row r="29" ht="30" customHeight="1">
      <x:c r="A29" s="26" t="str">
        <x:v>Adjusted Weight</x:v>
      </x:c>
      <x:c r="B29" s="68" t="n">
        <x:v>0.3076923076923077</x:v>
      </x:c>
      <x:c r="C29" s="26" t="str">
        <x:v>WI Reference</x:v>
      </x:c>
      <x:c r="D29" s="16" t="str">
        <x:v>WI-OPS-007
Bukti: checklist mesin, log servis, laporan kerusakan.</x:v>
      </x:c>
      <x:c r="E29" s="52"/>
      <x:c r="F29" s="52"/>
      <x:c r="G29" s="52"/>
      <x:c r="H29" s="52"/>
    </x:row>
    <x:row r="30" ht="36" customHeight="1">
      <x:c r="A30" s="26" t="str">
        <x:v>Objective</x:v>
      </x:c>
      <x:c r="B30" s="16" t="str">
        <x:v>Menjaga kesiapan mesin agar produksi tidak terhenti akibat kerusakan yang sebenarnya dapat dicegah.</x:v>
      </x:c>
      <x:c r="C30" s="52"/>
      <x:c r="D30" s="52"/>
      <x:c r="E30" s="52"/>
      <x:c r="F30" s="52"/>
      <x:c r="G30" s="52"/>
      <x:c r="H30" s="52"/>
    </x:row>
    <x:row r="31" ht="32" customHeight="1">
      <x:c r="A31" s="26" t="str">
        <x:v>Target Baseline</x:v>
      </x:c>
      <x:c r="B31" s="16" t="str">
        <x:v>100% preventive maintenance; 100% insiden kritis dicatat same day.</x:v>
      </x:c>
      <x:c r="C31" s="52"/>
      <x:c r="D31" s="52"/>
      <x:c r="E31" s="52"/>
      <x:c r="F31" s="52"/>
      <x:c r="G31" s="52"/>
      <x:c r="H31" s="52"/>
    </x:row>
    <x:row r="32">
      <x:c r="A32" s="52"/>
      <x:c r="B32" s="52"/>
      <x:c r="C32" s="52"/>
      <x:c r="D32" s="52"/>
      <x:c r="E32" s="52"/>
      <x:c r="F32" s="52"/>
      <x:c r="G32" s="52"/>
      <x:c r="H32" s="52"/>
    </x:row>
    <x:row r="33" ht="36" customHeight="1">
      <x:c r="A33" s="36" t="str">
        <x:v>No.</x:v>
      </x:c>
      <x:c r="B33" s="36" t="str">
        <x:v>KPI Detail / What to Check</x:v>
      </x:c>
      <x:c r="C33" s="36" t="str">
        <x:v>Actual Result</x:v>
      </x:c>
      <x:c r="D33" s="36" t="str">
        <x:v>Achievement %
(0–100)</x:v>
      </x:c>
      <x:c r="E33" s="36" t="str">
        <x:v>Evidence / Proof</x:v>
      </x:c>
      <x:c r="F33" s="36" t="str">
        <x:v>Status</x:v>
      </x:c>
      <x:c r="G33" s="36" t="str">
        <x:v>Issue / Root Cause</x:v>
      </x:c>
      <x:c r="H33" s="36" t="str">
        <x:v>Action / Follow-up</x:v>
      </x:c>
    </x:row>
    <x:row r="34" ht="52" customHeight="1">
      <x:c r="A34" s="16" t="n">
        <x:v>1</x:v>
      </x:c>
      <x:c r="B34" s="16" t="str">
        <x:v>100% checklist perawatan preventif periode berjalan terlaksana.</x:v>
      </x:c>
      <x:c r="C34" s="54" t="str"/>
      <x:c r="D34" s="54" t="str"/>
      <x:c r="E34" s="54" t="str"/>
      <x:c r="F34" s="46" t="str">
        <x:f>IF(D34="","",IF(D34&gt;=90,"On Track",IF(D34&gt;=80,"Good",IF(D34&gt;=70,"Need Improvement","Priority"))))</x:f>
      </x:c>
      <x:c r="G34" s="54" t="str"/>
      <x:c r="H34" s="54" t="str"/>
    </x:row>
    <x:row r="35" ht="52" customHeight="1">
      <x:c r="A35" s="16" t="n">
        <x:v>2</x:v>
      </x:c>
      <x:c r="B35" s="16" t="str">
        <x:v>100% masalah mesin kritis tercatat dan dieskalasi pada hari yang sama.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3</x:v>
      </x:c>
      <x:c r="B36" s="16" t="str">
        <x:v>Riwayat servis/pembersihan aset selalu diperbarui.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>
      <x:c r="A37" s="26" t="str">
        <x:v>Card Score</x:v>
      </x:c>
      <x:c r="B37" s="46" t="str">
        <x:f>IF(COUNT(D34:D36)=0,"",AVERAGE(D34:D36))</x:f>
      </x:c>
      <x:c r="C37" s="26" t="str">
        <x:v>Weighted Score</x:v>
      </x:c>
      <x:c r="D37" s="46" t="str">
        <x:f>IF(B37="","",B37*$B$29)</x:f>
      </x:c>
      <x:c r="E37" s="26" t="str">
        <x:v>Card Status</x:v>
      </x:c>
      <x:c r="F37" s="46" t="str">
        <x:f>IF(COUNT(D34:D36)=0,"Waiting for Input",IF(B37&gt;=90,"On Track",IF(B37&gt;=80,"Good",IF(B37&gt;=70,"Need Improvement","Priority"))))</x:f>
        <x:v>Waiting for Input</x:v>
      </x:c>
      <x:c r="G37" s="52"/>
      <x:c r="H37" s="52"/>
    </x:row>
    <x:row r="38" ht="34" customHeight="1">
      <x:c r="A38" s="26" t="str">
        <x:v>Overall Root Cause / Key Finding</x:v>
      </x:c>
      <x:c r="B38" s="54" t="str"/>
      <x:c r="C38" s="52"/>
      <x:c r="D38" s="52"/>
      <x:c r="E38" s="52"/>
      <x:c r="F38" s="52"/>
      <x:c r="G38" s="52"/>
      <x:c r="H38" s="52"/>
    </x:row>
    <x:row r="39" ht="34" customHeight="1">
      <x:c r="A39" s="26" t="str">
        <x:v>Action Plan, PIC &amp; Due Date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Reviewer Note</x:v>
      </x:c>
      <x:c r="B40" s="54" t="str"/>
      <x:c r="C40" s="52"/>
      <x:c r="D40" s="52"/>
      <x:c r="E40" s="52"/>
      <x:c r="F40" s="52"/>
      <x:c r="G40" s="52"/>
      <x:c r="H40" s="52"/>
    </x:row>
    <x:row r="41">
      <x:c r="A41" s="52"/>
      <x:c r="B41" s="52"/>
      <x:c r="C41" s="52"/>
      <x:c r="D41" s="52"/>
      <x:c r="E41" s="52"/>
      <x:c r="F41" s="52"/>
      <x:c r="G41" s="52"/>
      <x:c r="H41" s="52"/>
    </x:row>
    <x:row r="42" ht="24" customHeight="1">
      <x:c r="A42" s="62" t="str">
        <x:v>RC-KPI-OPS-HEAD-03 — Koordinasi &amp; Continuous Improvement</x:v>
      </x:c>
      <x:c r="B42" s="52"/>
      <x:c r="C42" s="52"/>
      <x:c r="D42" s="52"/>
      <x:c r="E42" s="52"/>
      <x:c r="F42" s="52"/>
      <x:c r="G42" s="52"/>
      <x:c r="H42" s="52"/>
    </x:row>
    <x:row r="43" ht="24" customHeight="1">
      <x:c r="A43" s="26" t="str">
        <x:v>KPI / Phase</x:v>
      </x:c>
      <x:c r="B43" s="16" t="str">
        <x:v>Koordinasi &amp; Continuous Improvement</x:v>
      </x:c>
      <x:c r="C43" s="52"/>
      <x:c r="D43" s="52"/>
      <x:c r="E43" s="52"/>
      <x:c r="F43" s="52"/>
      <x:c r="G43" s="52"/>
      <x:c r="H43" s="52"/>
    </x:row>
    <x:row r="44" ht="30" customHeight="1">
      <x:c r="A44" s="26" t="str">
        <x:v>Adjusted Weight</x:v>
      </x:c>
      <x:c r="B44" s="68" t="n">
        <x:v>0.23076923076923075</x:v>
      </x:c>
      <x:c r="C44" s="26" t="str">
        <x:v>WI Reference</x:v>
      </x:c>
      <x:c r="D44" s="16" t="str">
        <x:v>WI-OPS-003, WI-OPS-004, WI-OPS-016
Bukti: notulen rapat, action plan, rekap operasional.</x:v>
      </x:c>
      <x:c r="E44" s="52"/>
      <x:c r="F44" s="52"/>
      <x:c r="G44" s="52"/>
      <x:c r="H44" s="52"/>
    </x:row>
    <x:row r="45" ht="36" customHeight="1">
      <x:c r="A45" s="26" t="str">
        <x:v>Objective</x:v>
      </x:c>
      <x:c r="B45" s="16" t="str">
        <x:v>Menghapus bottleneck melalui koordinasi rutin dan uji perbaikan proses yang terukur.</x:v>
      </x:c>
      <x:c r="C45" s="52"/>
      <x:c r="D45" s="52"/>
      <x:c r="E45" s="52"/>
      <x:c r="F45" s="52"/>
      <x:c r="G45" s="52"/>
      <x:c r="H45" s="52"/>
    </x:row>
    <x:row r="46" ht="32" customHeight="1">
      <x:c r="A46" s="26" t="str">
        <x:v>Target Baseline</x:v>
      </x:c>
      <x:c r="B46" s="16" t="str">
        <x:v>4 rapat/bulan; 1 uji improvement/bulan; 100% rekap sesuai cut-off.</x:v>
      </x:c>
      <x:c r="C46" s="52"/>
      <x:c r="D46" s="52"/>
      <x:c r="E46" s="52"/>
      <x:c r="F46" s="52"/>
      <x:c r="G46" s="52"/>
      <x:c r="H46" s="52"/>
    </x:row>
    <x:row r="47">
      <x:c r="A47" s="52"/>
      <x:c r="B47" s="52"/>
      <x:c r="C47" s="52"/>
      <x:c r="D47" s="52"/>
      <x:c r="E47" s="52"/>
      <x:c r="F47" s="52"/>
      <x:c r="G47" s="52"/>
      <x:c r="H47" s="52"/>
    </x:row>
    <x:row r="48" ht="36" customHeight="1">
      <x:c r="A48" s="36" t="str">
        <x:v>No.</x:v>
      </x:c>
      <x:c r="B48" s="36" t="str">
        <x:v>KPI Detail / What to Check</x:v>
      </x:c>
      <x:c r="C48" s="36" t="str">
        <x:v>Actual Result</x:v>
      </x:c>
      <x:c r="D48" s="36" t="str">
        <x:v>Achievement %
(0–100)</x:v>
      </x:c>
      <x:c r="E48" s="36" t="str">
        <x:v>Evidence / Proof</x:v>
      </x:c>
      <x:c r="F48" s="36" t="str">
        <x:v>Status</x:v>
      </x:c>
      <x:c r="G48" s="36" t="str">
        <x:v>Issue / Root Cause</x:v>
      </x:c>
      <x:c r="H48" s="36" t="str">
        <x:v>Action / Follow-up</x:v>
      </x:c>
    </x:row>
    <x:row r="49" ht="52" customHeight="1">
      <x:c r="A49" s="16" t="n">
        <x:v>1</x:v>
      </x:c>
      <x:c r="B49" s="16" t="str">
        <x:v>Hadir dan membawa data pada 4 rapat koordinasi/bulan.</x:v>
      </x:c>
      <x:c r="C49" s="54" t="str"/>
      <x:c r="D49" s="54" t="str"/>
      <x:c r="E49" s="54" t="str"/>
      <x:c r="F49" s="46" t="str">
        <x:f>IF(D49="","",IF(D49&gt;=90,"On Track",IF(D49&gt;=80,"Good",IF(D49&gt;=70,"Need Improvement","Priority"))))</x:f>
      </x:c>
      <x:c r="G49" s="54" t="str"/>
      <x:c r="H49" s="54" t="str"/>
    </x:row>
    <x:row r="50" ht="52" customHeight="1">
      <x:c r="A50" s="16" t="n">
        <x:v>2</x:v>
      </x:c>
      <x:c r="B50" s="16" t="str">
        <x:v>Minimal 1 usulan/uji perbaikan bottleneck per bulan.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3</x:v>
      </x:c>
      <x:c r="B51" s="16" t="str">
        <x:v>Rekap produksi, reject, dan penggunaan bahan disampaikan sesuai cut-off.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>
      <x:c r="A52" s="26" t="str">
        <x:v>Card Score</x:v>
      </x:c>
      <x:c r="B52" s="46" t="str">
        <x:f>IF(COUNT(D49:D51)=0,"",AVERAGE(D49:D51))</x:f>
      </x:c>
      <x:c r="C52" s="26" t="str">
        <x:v>Weighted Score</x:v>
      </x:c>
      <x:c r="D52" s="46" t="str">
        <x:f>IF(B52="","",B52*$B$44)</x:f>
      </x:c>
      <x:c r="E52" s="26" t="str">
        <x:v>Card Status</x:v>
      </x:c>
      <x:c r="F52" s="46" t="str">
        <x:f>IF(COUNT(D49:D51)=0,"Waiting for Input",IF(B52&gt;=90,"On Track",IF(B52&gt;=80,"Good",IF(B52&gt;=70,"Need Improvement","Priority"))))</x:f>
        <x:v>Waiting for Input</x:v>
      </x:c>
      <x:c r="G52" s="52"/>
      <x:c r="H52" s="52"/>
    </x:row>
    <x:row r="53" ht="34" customHeight="1">
      <x:c r="A53" s="26" t="str">
        <x:v>Overall Root Cause / Key Finding</x:v>
      </x:c>
      <x:c r="B53" s="54" t="str"/>
      <x:c r="C53" s="52"/>
      <x:c r="D53" s="52"/>
      <x:c r="E53" s="52"/>
      <x:c r="F53" s="52"/>
      <x:c r="G53" s="52"/>
      <x:c r="H53" s="52"/>
    </x:row>
    <x:row r="54" ht="34" customHeight="1">
      <x:c r="A54" s="26" t="str">
        <x:v>Action Plan, PIC &amp; Due Date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Reviewer Note</x:v>
      </x:c>
      <x:c r="B55" s="54" t="str"/>
      <x:c r="C55" s="52"/>
      <x:c r="D55" s="52"/>
      <x:c r="E55" s="52"/>
      <x:c r="F55" s="52"/>
      <x:c r="G55" s="52"/>
      <x:c r="H55" s="52"/>
    </x:row>
    <x:row r="56">
      <x:c r="A56" s="52"/>
      <x:c r="B56" s="52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</x:sheetData>
  <x:mergeCells>
    <x:mergeCell ref="A1:H1"/>
    <x:mergeCell ref="A5:H5"/>
    <x:mergeCell ref="A12:H12"/>
    <x:mergeCell ref="B13:H13"/>
    <x:mergeCell ref="D14:H14"/>
    <x:mergeCell ref="B15:H15"/>
    <x:mergeCell ref="B16:H16"/>
    <x:mergeCell ref="F22:H22"/>
    <x:mergeCell ref="B23:H23"/>
    <x:mergeCell ref="B24:H24"/>
    <x:mergeCell ref="B25:H25"/>
    <x:mergeCell ref="A27:H27"/>
    <x:mergeCell ref="B28:H28"/>
    <x:mergeCell ref="D29:H29"/>
    <x:mergeCell ref="B30:H30"/>
    <x:mergeCell ref="B31:H31"/>
    <x:mergeCell ref="F37:H37"/>
    <x:mergeCell ref="B38:H38"/>
    <x:mergeCell ref="B39:H39"/>
    <x:mergeCell ref="B40:H40"/>
    <x:mergeCell ref="A42:H42"/>
    <x:mergeCell ref="B43:H43"/>
    <x:mergeCell ref="D44:H44"/>
    <x:mergeCell ref="B45:H45"/>
    <x:mergeCell ref="B46:H46"/>
    <x:mergeCell ref="F52:H52"/>
    <x:mergeCell ref="B53:H53"/>
    <x:mergeCell ref="B54:H54"/>
    <x:mergeCell ref="B55:H55"/>
    <x:mergeCell ref="A10:B10"/>
    <x:mergeCell ref="G10:H10"/>
    <x:mergeCell ref="A11:H11"/>
  </x:mergeCells>
  <x:conditionalFormatting sqref="D19:D19">
    <x:cfRule type="cellIs" dxfId="0" priority="1" operator="greaterThanOrEqual">
      <x:formula>90</x:formula>
    </x:cfRule>
    <x:cfRule type="cellIs" dxfId="1" priority="2" operator="between">
      <x:formula>70</x:formula>
    </x:cfRule>
    <x:cfRule type="cellIs" dxfId="2" priority="3" operator="lessThan">
      <x:formula>70</x:formula>
    </x:cfRule>
  </x:conditionalFormatting>
  <x:conditionalFormatting sqref="D20:D20">
    <x:cfRule type="cellIs" dxfId="3" priority="4" operator="greaterThanOrEqual">
      <x:formula>90</x:formula>
    </x:cfRule>
    <x:cfRule type="cellIs" dxfId="4" priority="5" operator="between">
      <x:formula>70</x:formula>
    </x:cfRule>
    <x:cfRule type="cellIs" dxfId="5" priority="6" operator="lessThan">
      <x:formula>70</x:formula>
    </x:cfRule>
  </x:conditionalFormatting>
  <x:conditionalFormatting sqref="D21:D21">
    <x:cfRule type="cellIs" dxfId="6" priority="7" operator="greaterThanOrEqual">
      <x:formula>90</x:formula>
    </x:cfRule>
    <x:cfRule type="cellIs" dxfId="7" priority="8" operator="between">
      <x:formula>70</x:formula>
    </x:cfRule>
    <x:cfRule type="cellIs" dxfId="8" priority="9" operator="lessThan">
      <x:formula>70</x:formula>
    </x:cfRule>
  </x:conditionalFormatting>
  <x:conditionalFormatting sqref="D34:D34">
    <x:cfRule type="cellIs" dxfId="9" priority="10" operator="greaterThanOrEqual">
      <x:formula>90</x:formula>
    </x:cfRule>
    <x:cfRule type="cellIs" dxfId="10" priority="11" operator="between">
      <x:formula>70</x:formula>
    </x:cfRule>
    <x:cfRule type="cellIs" dxfId="11" priority="12" operator="lessThan">
      <x:formula>70</x:formula>
    </x:cfRule>
  </x:conditionalFormatting>
  <x:conditionalFormatting sqref="D35:D35">
    <x:cfRule type="cellIs" dxfId="12" priority="13" operator="greaterThanOrEqual">
      <x:formula>90</x:formula>
    </x:cfRule>
    <x:cfRule type="cellIs" dxfId="13" priority="14" operator="between">
      <x:formula>70</x:formula>
    </x:cfRule>
    <x:cfRule type="cellIs" dxfId="14" priority="15" operator="lessThan">
      <x:formula>70</x:formula>
    </x:cfRule>
  </x:conditionalFormatting>
  <x:conditionalFormatting sqref="D36:D36">
    <x:cfRule type="cellIs" dxfId="15" priority="16" operator="greaterThanOrEqual">
      <x:formula>90</x:formula>
    </x:cfRule>
    <x:cfRule type="cellIs" dxfId="16" priority="17" operator="between">
      <x:formula>70</x:formula>
    </x:cfRule>
    <x:cfRule type="cellIs" dxfId="17" priority="18" operator="lessThan">
      <x:formula>70</x:formula>
    </x:cfRule>
  </x:conditionalFormatting>
  <x:conditionalFormatting sqref="D49:D49">
    <x:cfRule type="cellIs" dxfId="18" priority="19" operator="greaterThanOrEqual">
      <x:formula>90</x:formula>
    </x:cfRule>
    <x:cfRule type="cellIs" dxfId="19" priority="20" operator="between">
      <x:formula>70</x:formula>
    </x:cfRule>
    <x:cfRule type="cellIs" dxfId="20" priority="21" operator="lessThan">
      <x:formula>70</x:formula>
    </x:cfRule>
  </x:conditionalFormatting>
  <x:conditionalFormatting sqref="D50:D50">
    <x:cfRule type="cellIs" dxfId="21" priority="22" operator="greaterThanOrEqual">
      <x:formula>90</x:formula>
    </x:cfRule>
    <x:cfRule type="cellIs" dxfId="22" priority="23" operator="between">
      <x:formula>70</x:formula>
    </x:cfRule>
    <x:cfRule type="cellIs" dxfId="23" priority="24" operator="lessThan">
      <x:formula>70</x:formula>
    </x:cfRule>
  </x:conditionalFormatting>
  <x:conditionalFormatting sqref="D51:D51">
    <x:cfRule type="cellIs" dxfId="24" priority="25" operator="greaterThanOrEqual">
      <x:formula>90</x:formula>
    </x:cfRule>
    <x:cfRule type="cellIs" dxfId="25" priority="26" operator="between">
      <x:formula>70</x:formula>
    </x:cfRule>
    <x:cfRule type="cellIs" dxfId="26" priority="27" operator="lessThan">
      <x:formula>70</x:formula>
    </x:cfRule>
  </x:conditionalFormatting>
  <x:dataValidations count="9">
    <x:dataValidation type="list" sqref="D19">
      <x:formula1>"0,5,10,15,20,25,30,35,40,45,50,55,60,65,70,75,80,85,90,95,100"</x:formula1>
    </x:dataValidation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34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49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STAFF / OPERATOR PRODUKSI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Operations</x:v>
      </x:c>
      <x:c r="C2" s="26" t="str">
        <x:v>KPI Code</x:v>
      </x:c>
      <x:c r="D2" s="16" t="str">
        <x:v>KPI-OPS-OPR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Kepala Produksi</x:v>
      </x:c>
      <x:c r="C3" s="26" t="str">
        <x:v>Headcount Reference</x:v>
      </x:c>
      <x:c r="D3" s="16" t="str">
        <x:v>3</x:v>
      </x:c>
      <x:c r="E3" s="26" t="str">
        <x:v>Applicable KPI</x:v>
      </x:c>
      <x:c r="F3" s="16" t="n">
        <x:v>4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Kepatuhan WO &amp; Pre-Production Check</x:v>
      </x:c>
      <x:c r="C7" s="68" t="n">
        <x:v>0.2</x:v>
      </x:c>
      <x:c r="D7" s="46" t="n">
        <x:f>B23</x:f>
        <x:v>0</x:v>
      </x:c>
      <x:c r="E7" s="46" t="n">
        <x:f>D23</x:f>
        <x:v>0</x:v>
      </x:c>
      <x:c r="F7" s="46" t="str">
        <x:f>F23</x:f>
        <x:v>Waiting for Input</x:v>
      </x:c>
      <x:c r="G7" s="16" t="str">
        <x:v>WI-OPS-007
Bukti: WO, pre-check checklist, laporan kendala.</x:v>
      </x:c>
      <x:c r="H7" s="16" t="str">
        <x:v>RC-KPI-OPS-OPR-01</x:v>
      </x:c>
    </x:row>
    <x:row r="8" ht="36" customHeight="1">
      <x:c r="A8" s="16" t="n">
        <x:v>2</x:v>
      </x:c>
      <x:c r="B8" s="16" t="str">
        <x:v>Output Produksi &amp; Ketepatan Target</x:v>
      </x:c>
      <x:c r="C8" s="68" t="n">
        <x:v>0.4</x:v>
      </x:c>
      <x:c r="D8" s="46" t="n">
        <x:f>B38</x:f>
        <x:v>0</x:v>
      </x:c>
      <x:c r="E8" s="46" t="n">
        <x:f>D38</x:f>
        <x:v>0</x:v>
      </x:c>
      <x:c r="F8" s="46" t="str">
        <x:f>F38</x:f>
        <x:v>Waiting for Input</x:v>
      </x:c>
      <x:c r="G8" s="16" t="str">
        <x:v>WI-OPS-008
Bukti: laporan output, WO, catatan batch.</x:v>
      </x:c>
      <x:c r="H8" s="16" t="str">
        <x:v>RC-KPI-OPS-OPR-02</x:v>
      </x:c>
    </x:row>
    <x:row r="9" ht="36" customHeight="1">
      <x:c r="A9" s="16" t="n">
        <x:v>3</x:v>
      </x:c>
      <x:c r="B9" s="16" t="str">
        <x:v>First-Line QC &amp; Pengendalian Rework</x:v>
      </x:c>
      <x:c r="C9" s="68" t="n">
        <x:v>0.25</x:v>
      </x:c>
      <x:c r="D9" s="46" t="n">
        <x:f>B53</x:f>
        <x:v>0</x:v>
      </x:c>
      <x:c r="E9" s="46" t="n">
        <x:f>D53</x:f>
        <x:v>0</x:v>
      </x:c>
      <x:c r="F9" s="46" t="str">
        <x:f>F53</x:f>
        <x:v>Waiting for Input</x:v>
      </x:c>
      <x:c r="G9" s="16" t="str">
        <x:v>WI-OPS-008, WI-OPS-010, WI-OPS-012
Bukti: first-line QC log, defect/rework tag.</x:v>
      </x:c>
      <x:c r="H9" s="16" t="str">
        <x:v>RC-KPI-OPS-OPR-03</x:v>
      </x:c>
    </x:row>
    <x:row r="10" ht="36" customHeight="1">
      <x:c r="A10" s="16" t="n">
        <x:v>4</x:v>
      </x:c>
      <x:c r="B10" s="16" t="str">
        <x:v>Asset Care, 5S &amp; K3</x:v>
      </x:c>
      <x:c r="C10" s="68" t="n">
        <x:v>0.15</x:v>
      </x:c>
      <x:c r="D10" s="46" t="n">
        <x:f>B68</x:f>
        <x:v>0</x:v>
      </x:c>
      <x:c r="E10" s="46" t="n">
        <x:f>D68</x:f>
        <x:v>0</x:v>
      </x:c>
      <x:c r="F10" s="46" t="str">
        <x:f>F68</x:f>
        <x:v>Waiting for Input</x:v>
      </x:c>
      <x:c r="G10" s="16" t="str">
        <x:v>WI-OPS-007, WI-OPS-009
Bukti: checklist 5S, log pembersihan, laporan kerusakan.</x:v>
      </x:c>
      <x:c r="H10" s="16" t="str">
        <x:v>RC-KPI-OPS-OPR-04</x:v>
      </x:c>
    </x:row>
    <x:row r="11">
      <x:c r="A11" s="62" t="str">
        <x:v>Overall Role Score</x:v>
      </x:c>
      <x:c r="B11" s="52"/>
      <x:c r="C11" s="26" t="str">
        <x:v>Total Weight</x:v>
      </x:c>
      <x:c r="D11" s="68" t="n">
        <x:f>SUM(C7:C10)</x:f>
        <x:v>1</x:v>
      </x:c>
      <x:c r="E11" s="46" t="str">
        <x:f>IF(COUNT(D20:D22,D35:D37,D50:D52,D65:D67)=0,"",SUM(E7:E10))</x:f>
      </x:c>
      <x:c r="F11" s="26" t="str">
        <x:v>Overall Status</x:v>
      </x:c>
      <x:c r="G11" s="46" t="str">
        <x:f>IF(COUNT(D20:D22,D35:D37,D50:D52,D65:D67)=0,"Waiting for Input",IF(E11&gt;=90,"On Track",IF(E11&gt;=80,"Good",IF(E11&gt;=70,"Need Improvement","Priority"))))</x:f>
        <x:v>Waiting for Input</x:v>
      </x:c>
      <x:c r="H11" s="52"/>
    </x:row>
    <x:row r="12" ht="22" customHeight="1">
      <x:c r="A12" s="16" t="str">
        <x:v>Fill yellow cells only. Score output is calculated from the average Achievement % of KPI details in each card.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62" t="str">
        <x:v>RC-KPI-OPS-OPR-01 — Kepatuhan WO &amp; Pre-Production Check</x:v>
      </x:c>
      <x:c r="B13" s="52"/>
      <x:c r="C13" s="52"/>
      <x:c r="D13" s="52"/>
      <x:c r="E13" s="52"/>
      <x:c r="F13" s="52"/>
      <x:c r="G13" s="52"/>
      <x:c r="H13" s="52"/>
    </x:row>
    <x:row r="14" ht="24" customHeight="1">
      <x:c r="A14" s="26" t="str">
        <x:v>KPI / Phase</x:v>
      </x:c>
      <x:c r="B14" s="16" t="str">
        <x:v>Kepatuhan WO &amp; Pre-Production Check</x:v>
      </x:c>
      <x:c r="C14" s="52"/>
      <x:c r="D14" s="52"/>
      <x:c r="E14" s="52"/>
      <x:c r="F14" s="52"/>
      <x:c r="G14" s="52"/>
      <x:c r="H14" s="52"/>
    </x:row>
    <x:row r="15" ht="30" customHeight="1">
      <x:c r="A15" s="26" t="str">
        <x:v>Adjusted Weight</x:v>
      </x:c>
      <x:c r="B15" s="68" t="n">
        <x:v>0.2</x:v>
      </x:c>
      <x:c r="C15" s="26" t="str">
        <x:v>WI Reference</x:v>
      </x:c>
      <x:c r="D15" s="16" t="str">
        <x:v>WI-OPS-007
Bukti: WO, pre-check checklist, laporan kendala.</x:v>
      </x:c>
      <x:c r="E15" s="52"/>
      <x:c r="F15" s="52"/>
      <x:c r="G15" s="52"/>
      <x:c r="H15" s="52"/>
    </x:row>
    <x:row r="16" ht="36" customHeight="1">
      <x:c r="A16" s="26" t="str">
        <x:v>Objective</x:v>
      </x:c>
      <x:c r="B16" s="16" t="str">
        <x:v>Memulai pekerjaan hanya setelah memahami WO, bahan, blueprint, alat, dan kondisi mesin.</x:v>
      </x:c>
      <x:c r="C16" s="52"/>
      <x:c r="D16" s="52"/>
      <x:c r="E16" s="52"/>
      <x:c r="F16" s="52"/>
      <x:c r="G16" s="52"/>
      <x:c r="H16" s="52"/>
    </x:row>
    <x:row r="17" ht="32" customHeight="1">
      <x:c r="A17" s="26" t="str">
        <x:v>Target Baseline</x:v>
      </x:c>
      <x:c r="B17" s="16" t="str">
        <x:v>100% batch dengan WO + pre-check; 0 deviasi tanpa approval.</x:v>
      </x:c>
      <x:c r="C17" s="52"/>
      <x:c r="D17" s="52"/>
      <x:c r="E17" s="52"/>
      <x:c r="F17" s="52"/>
      <x:c r="G17" s="52"/>
      <x:c r="H17" s="52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 ht="36" customHeight="1">
      <x:c r="A19" s="36" t="str">
        <x:v>No.</x:v>
      </x:c>
      <x:c r="B19" s="36" t="str">
        <x:v>KPI Detail / What to Check</x:v>
      </x:c>
      <x:c r="C19" s="36" t="str">
        <x:v>Actual Result</x:v>
      </x:c>
      <x:c r="D19" s="36" t="str">
        <x:v>Achievement %
(0–100)</x:v>
      </x:c>
      <x:c r="E19" s="36" t="str">
        <x:v>Evidence / Proof</x:v>
      </x:c>
      <x:c r="F19" s="36" t="str">
        <x:v>Status</x:v>
      </x:c>
      <x:c r="G19" s="36" t="str">
        <x:v>Issue / Root Cause</x:v>
      </x:c>
      <x:c r="H19" s="36" t="str">
        <x:v>Action / Follow-up</x:v>
      </x:c>
    </x:row>
    <x:row r="20" ht="52" customHeight="1">
      <x:c r="A20" s="16" t="n">
        <x:v>1</x:v>
      </x:c>
      <x:c r="B20" s="16" t="str">
        <x:v>100% batch dikerjakan menggunakan WO/blueprint yang valid.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2</x:v>
      </x:c>
      <x:c r="B21" s="16" t="str">
        <x:v>100% checklist awal mesin dan bahan dilakukan.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 ht="52" customHeight="1">
      <x:c r="A22" s="16" t="n">
        <x:v>3</x:v>
      </x:c>
      <x:c r="B22" s="16" t="str">
        <x:v>0 perubahan metode kerja tanpa persetujuan Supervisor.</x:v>
      </x:c>
      <x:c r="C22" s="54" t="str"/>
      <x:c r="D22" s="54" t="str"/>
      <x:c r="E22" s="54" t="str"/>
      <x:c r="F22" s="46" t="str">
        <x:f>IF(D22="","",IF(D22&gt;=90,"On Track",IF(D22&gt;=80,"Good",IF(D22&gt;=70,"Need Improvement","Priority"))))</x:f>
      </x:c>
      <x:c r="G22" s="54" t="str"/>
      <x:c r="H22" s="54" t="str"/>
    </x:row>
    <x:row r="23">
      <x:c r="A23" s="26" t="str">
        <x:v>Card Score</x:v>
      </x:c>
      <x:c r="B23" s="46" t="str">
        <x:f>IF(COUNT(D20:D22)=0,"",AVERAGE(D20:D22))</x:f>
      </x:c>
      <x:c r="C23" s="26" t="str">
        <x:v>Weighted Score</x:v>
      </x:c>
      <x:c r="D23" s="46" t="str">
        <x:f>IF(B23="","",B23*$B$15)</x:f>
      </x:c>
      <x:c r="E23" s="26" t="str">
        <x:v>Card Status</x:v>
      </x:c>
      <x:c r="F23" s="46" t="str">
        <x:f>IF(COUNT(D20:D22)=0,"Waiting for Input",IF(B23&gt;=90,"On Track",IF(B23&gt;=80,"Good",IF(B23&gt;=70,"Need Improvement","Priority"))))</x:f>
        <x:v>Waiting for Input</x:v>
      </x:c>
      <x:c r="G23" s="52"/>
      <x:c r="H23" s="52"/>
    </x:row>
    <x:row r="24" ht="34" customHeight="1">
      <x:c r="A24" s="26" t="str">
        <x:v>Overall Root Cause / Key Finding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Action Plan, PIC &amp; Due Date</x:v>
      </x:c>
      <x:c r="B25" s="54" t="str"/>
      <x:c r="C25" s="52"/>
      <x:c r="D25" s="52"/>
      <x:c r="E25" s="52"/>
      <x:c r="F25" s="52"/>
      <x:c r="G25" s="52"/>
      <x:c r="H25" s="52"/>
    </x:row>
    <x:row r="26" ht="34" customHeight="1">
      <x:c r="A26" s="26" t="str">
        <x:v>Reviewer Note</x:v>
      </x:c>
      <x:c r="B26" s="54" t="str"/>
      <x:c r="C26" s="52"/>
      <x:c r="D26" s="52"/>
      <x:c r="E26" s="52"/>
      <x:c r="F26" s="52"/>
      <x:c r="G26" s="52"/>
      <x:c r="H26" s="52"/>
    </x:row>
    <x:row r="27">
      <x:c r="A27" s="52"/>
      <x:c r="B27" s="52"/>
      <x:c r="C27" s="52"/>
      <x:c r="D27" s="52"/>
      <x:c r="E27" s="52"/>
      <x:c r="F27" s="52"/>
      <x:c r="G27" s="52"/>
      <x:c r="H27" s="52"/>
    </x:row>
    <x:row r="28" ht="24" customHeight="1">
      <x:c r="A28" s="62" t="str">
        <x:v>RC-KPI-OPS-OPR-02 — Output Produksi &amp; Ketepatan Target</x:v>
      </x:c>
      <x:c r="B28" s="52"/>
      <x:c r="C28" s="52"/>
      <x:c r="D28" s="52"/>
      <x:c r="E28" s="52"/>
      <x:c r="F28" s="52"/>
      <x:c r="G28" s="52"/>
      <x:c r="H28" s="52"/>
    </x:row>
    <x:row r="29" ht="24" customHeight="1">
      <x:c r="A29" s="26" t="str">
        <x:v>KPI / Phase</x:v>
      </x:c>
      <x:c r="B29" s="16" t="str">
        <x:v>Output Produksi &amp; Ketepatan Target</x:v>
      </x:c>
      <x:c r="C29" s="52"/>
      <x:c r="D29" s="52"/>
      <x:c r="E29" s="52"/>
      <x:c r="F29" s="52"/>
      <x:c r="G29" s="52"/>
      <x:c r="H29" s="52"/>
    </x:row>
    <x:row r="30" ht="30" customHeight="1">
      <x:c r="A30" s="26" t="str">
        <x:v>Adjusted Weight</x:v>
      </x:c>
      <x:c r="B30" s="68" t="n">
        <x:v>0.4</x:v>
      </x:c>
      <x:c r="C30" s="26" t="str">
        <x:v>WI Reference</x:v>
      </x:c>
      <x:c r="D30" s="16" t="str">
        <x:v>WI-OPS-008
Bukti: laporan output, WO, catatan batch.</x:v>
      </x:c>
      <x:c r="E30" s="52"/>
      <x:c r="F30" s="52"/>
      <x:c r="G30" s="52"/>
      <x:c r="H30" s="52"/>
    </x:row>
    <x:row r="31" ht="36" customHeight="1">
      <x:c r="A31" s="26" t="str">
        <x:v>Objective</x:v>
      </x:c>
      <x:c r="B31" s="16" t="str">
        <x:v>Mencapai target harian yang ditetapkan tanpa mengorbankan standar proses atau kualitas.</x:v>
      </x:c>
      <x:c r="C31" s="52"/>
      <x:c r="D31" s="52"/>
      <x:c r="E31" s="52"/>
      <x:c r="F31" s="52"/>
      <x:c r="G31" s="52"/>
      <x:c r="H31" s="52"/>
    </x:row>
    <x:row r="32" ht="32" customHeight="1">
      <x:c r="A32" s="26" t="str">
        <x:v>Target Baseline</x:v>
      </x:c>
      <x:c r="B32" s="16" t="str">
        <x:v>≥95% target output; 100% laporan hasil kerja per shift.</x:v>
      </x:c>
      <x:c r="C32" s="52"/>
      <x:c r="D32" s="52"/>
      <x:c r="E32" s="52"/>
      <x:c r="F32" s="52"/>
      <x:c r="G32" s="52"/>
      <x:c r="H32" s="52"/>
    </x:row>
    <x:row r="33">
      <x:c r="A33" s="52"/>
      <x:c r="B33" s="52"/>
      <x:c r="C33" s="52"/>
      <x:c r="D33" s="52"/>
      <x:c r="E33" s="52"/>
      <x:c r="F33" s="52"/>
      <x:c r="G33" s="52"/>
      <x:c r="H33" s="52"/>
    </x:row>
    <x:row r="34" ht="36" customHeight="1">
      <x:c r="A34" s="36" t="str">
        <x:v>No.</x:v>
      </x:c>
      <x:c r="B34" s="36" t="str">
        <x:v>KPI Detail / What to Check</x:v>
      </x:c>
      <x:c r="C34" s="36" t="str">
        <x:v>Actual Result</x:v>
      </x:c>
      <x:c r="D34" s="36" t="str">
        <x:v>Achievement %
(0–100)</x:v>
      </x:c>
      <x:c r="E34" s="36" t="str">
        <x:v>Evidence / Proof</x:v>
      </x:c>
      <x:c r="F34" s="36" t="str">
        <x:v>Status</x:v>
      </x:c>
      <x:c r="G34" s="36" t="str">
        <x:v>Issue / Root Cause</x:v>
      </x:c>
      <x:c r="H34" s="36" t="str">
        <x:v>Action / Follow-up</x:v>
      </x:c>
    </x:row>
    <x:row r="35" ht="52" customHeight="1">
      <x:c r="A35" s="16" t="n">
        <x:v>1</x:v>
      </x:c>
      <x:c r="B35" s="16" t="str">
        <x:v>≥95% target output harian/batch tercapai.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2</x:v>
      </x:c>
      <x:c r="B36" s="16" t="str">
        <x:v>100% hasil pekerjaan dilaporkan ke Kepala Produksi pada akhir shift.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 ht="52" customHeight="1">
      <x:c r="A37" s="16" t="n">
        <x:v>3</x:v>
      </x:c>
      <x:c r="B37" s="16" t="str">
        <x:v>0 output yang tidak tercatat.</x:v>
      </x:c>
      <x:c r="C37" s="54" t="str"/>
      <x:c r="D37" s="54" t="str"/>
      <x:c r="E37" s="54" t="str"/>
      <x:c r="F37" s="46" t="str">
        <x:f>IF(D37="","",IF(D37&gt;=90,"On Track",IF(D37&gt;=80,"Good",IF(D37&gt;=70,"Need Improvement","Priority"))))</x:f>
      </x:c>
      <x:c r="G37" s="54" t="str"/>
      <x:c r="H37" s="54" t="str"/>
    </x:row>
    <x:row r="38">
      <x:c r="A38" s="26" t="str">
        <x:v>Card Score</x:v>
      </x:c>
      <x:c r="B38" s="46" t="str">
        <x:f>IF(COUNT(D35:D37)=0,"",AVERAGE(D35:D37))</x:f>
      </x:c>
      <x:c r="C38" s="26" t="str">
        <x:v>Weighted Score</x:v>
      </x:c>
      <x:c r="D38" s="46" t="str">
        <x:f>IF(B38="","",B38*$B$30)</x:f>
      </x:c>
      <x:c r="E38" s="26" t="str">
        <x:v>Card Status</x:v>
      </x:c>
      <x:c r="F38" s="46" t="str">
        <x:f>IF(COUNT(D35:D37)=0,"Waiting for Input",IF(B38&gt;=90,"On Track",IF(B38&gt;=80,"Good",IF(B38&gt;=70,"Need Improvement","Priority"))))</x:f>
        <x:v>Waiting for Input</x:v>
      </x:c>
      <x:c r="G38" s="52"/>
      <x:c r="H38" s="52"/>
    </x:row>
    <x:row r="39" ht="34" customHeight="1">
      <x:c r="A39" s="26" t="str">
        <x:v>Overall Root Cause / Key Finding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Action Plan, PIC &amp; Due Date</x:v>
      </x:c>
      <x:c r="B40" s="54" t="str"/>
      <x:c r="C40" s="52"/>
      <x:c r="D40" s="52"/>
      <x:c r="E40" s="52"/>
      <x:c r="F40" s="52"/>
      <x:c r="G40" s="52"/>
      <x:c r="H40" s="52"/>
    </x:row>
    <x:row r="41" ht="34" customHeight="1">
      <x:c r="A41" s="26" t="str">
        <x:v>Reviewer Note</x:v>
      </x:c>
      <x:c r="B41" s="54" t="str"/>
      <x:c r="C41" s="52"/>
      <x:c r="D41" s="52"/>
      <x:c r="E41" s="52"/>
      <x:c r="F41" s="52"/>
      <x:c r="G41" s="52"/>
      <x:c r="H41" s="52"/>
    </x:row>
    <x:row r="42">
      <x:c r="A42" s="52"/>
      <x:c r="B42" s="52"/>
      <x:c r="C42" s="52"/>
      <x:c r="D42" s="52"/>
      <x:c r="E42" s="52"/>
      <x:c r="F42" s="52"/>
      <x:c r="G42" s="52"/>
      <x:c r="H42" s="52"/>
    </x:row>
    <x:row r="43" ht="24" customHeight="1">
      <x:c r="A43" s="62" t="str">
        <x:v>RC-KPI-OPS-OPR-03 — First-Line QC &amp; Pengendalian Rework</x:v>
      </x:c>
      <x:c r="B43" s="52"/>
      <x:c r="C43" s="52"/>
      <x:c r="D43" s="52"/>
      <x:c r="E43" s="52"/>
      <x:c r="F43" s="52"/>
      <x:c r="G43" s="52"/>
      <x:c r="H43" s="52"/>
    </x:row>
    <x:row r="44" ht="24" customHeight="1">
      <x:c r="A44" s="26" t="str">
        <x:v>KPI / Phase</x:v>
      </x:c>
      <x:c r="B44" s="16" t="str">
        <x:v>First-Line QC &amp; Pengendalian Rework</x:v>
      </x:c>
      <x:c r="C44" s="52"/>
      <x:c r="D44" s="52"/>
      <x:c r="E44" s="52"/>
      <x:c r="F44" s="52"/>
      <x:c r="G44" s="52"/>
      <x:c r="H44" s="52"/>
    </x:row>
    <x:row r="45" ht="30" customHeight="1">
      <x:c r="A45" s="26" t="str">
        <x:v>Adjusted Weight</x:v>
      </x:c>
      <x:c r="B45" s="68" t="n">
        <x:v>0.25</x:v>
      </x:c>
      <x:c r="C45" s="26" t="str">
        <x:v>WI Reference</x:v>
      </x:c>
      <x:c r="D45" s="16" t="str">
        <x:v>WI-OPS-008, WI-OPS-010, WI-OPS-012
Bukti: first-line QC log, defect/rework tag.</x:v>
      </x:c>
      <x:c r="E45" s="52"/>
      <x:c r="F45" s="52"/>
      <x:c r="G45" s="52"/>
      <x:c r="H45" s="52"/>
    </x:row>
    <x:row r="46" ht="36" customHeight="1">
      <x:c r="A46" s="26" t="str">
        <x:v>Objective</x:v>
      </x:c>
      <x:c r="B46" s="16" t="str">
        <x:v>Menangkap cacat pada proses sendiri sebelum produk masuk ke Final QC.</x:v>
      </x:c>
      <x:c r="C46" s="52"/>
      <x:c r="D46" s="52"/>
      <x:c r="E46" s="52"/>
      <x:c r="F46" s="52"/>
      <x:c r="G46" s="52"/>
      <x:c r="H46" s="52"/>
    </x:row>
    <x:row r="47" ht="32" customHeight="1">
      <x:c r="A47" s="26" t="str">
        <x:v>Target Baseline</x:v>
      </x:c>
      <x:c r="B47" s="16" t="str">
        <x:v>100% self-check; 0 pencampuran barang; defect sesuai ambang produk.</x:v>
      </x:c>
      <x:c r="C47" s="52"/>
      <x:c r="D47" s="52"/>
      <x:c r="E47" s="52"/>
      <x:c r="F47" s="52"/>
      <x:c r="G47" s="52"/>
      <x:c r="H47" s="52"/>
    </x:row>
    <x:row r="48">
      <x:c r="A48" s="52"/>
      <x:c r="B48" s="52"/>
      <x:c r="C48" s="52"/>
      <x:c r="D48" s="52"/>
      <x:c r="E48" s="52"/>
      <x:c r="F48" s="52"/>
      <x:c r="G48" s="52"/>
      <x:c r="H48" s="52"/>
    </x:row>
    <x:row r="49" ht="36" customHeight="1">
      <x:c r="A49" s="36" t="str">
        <x:v>No.</x:v>
      </x:c>
      <x:c r="B49" s="36" t="str">
        <x:v>KPI Detail / What to Check</x:v>
      </x:c>
      <x:c r="C49" s="36" t="str">
        <x:v>Actual Result</x:v>
      </x:c>
      <x:c r="D49" s="36" t="str">
        <x:v>Achievement %
(0–100)</x:v>
      </x:c>
      <x:c r="E49" s="36" t="str">
        <x:v>Evidence / Proof</x:v>
      </x:c>
      <x:c r="F49" s="36" t="str">
        <x:v>Status</x:v>
      </x:c>
      <x:c r="G49" s="36" t="str">
        <x:v>Issue / Root Cause</x:v>
      </x:c>
      <x:c r="H49" s="36" t="str">
        <x:v>Action / Follow-up</x:v>
      </x:c>
    </x:row>
    <x:row r="50" ht="52" customHeight="1">
      <x:c r="A50" s="16" t="n">
        <x:v>1</x:v>
      </x:c>
      <x:c r="B50" s="16" t="str">
        <x:v>100% batch menjalani self-check sebelum handover.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2</x:v>
      </x:c>
      <x:c r="B51" s="16" t="str">
        <x:v>0 barang reject tercampur dengan barang OK.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 ht="52" customHeight="1">
      <x:c r="A52" s="16" t="n">
        <x:v>3</x:v>
      </x:c>
      <x:c r="B52" s="16" t="str">
        <x:v>Defect dari proses sendiri ≤ target defect yang disetujui Kepala Produksi.</x:v>
      </x:c>
      <x:c r="C52" s="54" t="str"/>
      <x:c r="D52" s="54" t="str"/>
      <x:c r="E52" s="54" t="str"/>
      <x:c r="F52" s="46" t="str">
        <x:f>IF(D52="","",IF(D52&gt;=90,"On Track",IF(D52&gt;=80,"Good",IF(D52&gt;=70,"Need Improvement","Priority"))))</x:f>
      </x:c>
      <x:c r="G52" s="54" t="str"/>
      <x:c r="H52" s="54" t="str"/>
    </x:row>
    <x:row r="53">
      <x:c r="A53" s="26" t="str">
        <x:v>Card Score</x:v>
      </x:c>
      <x:c r="B53" s="46" t="str">
        <x:f>IF(COUNT(D50:D52)=0,"",AVERAGE(D50:D52))</x:f>
      </x:c>
      <x:c r="C53" s="26" t="str">
        <x:v>Weighted Score</x:v>
      </x:c>
      <x:c r="D53" s="46" t="str">
        <x:f>IF(B53="","",B53*$B$45)</x:f>
      </x:c>
      <x:c r="E53" s="26" t="str">
        <x:v>Card Status</x:v>
      </x:c>
      <x:c r="F53" s="46" t="str">
        <x:f>IF(COUNT(D50:D52)=0,"Waiting for Input",IF(B53&gt;=90,"On Track",IF(B53&gt;=80,"Good",IF(B53&gt;=70,"Need Improvement","Priority"))))</x:f>
        <x:v>Waiting for Input</x:v>
      </x:c>
      <x:c r="G53" s="52"/>
      <x:c r="H53" s="52"/>
    </x:row>
    <x:row r="54" ht="34" customHeight="1">
      <x:c r="A54" s="26" t="str">
        <x:v>Overall Root Cause / Key Finding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Action Plan, PIC &amp; Due Date</x:v>
      </x:c>
      <x:c r="B55" s="54" t="str"/>
      <x:c r="C55" s="52"/>
      <x:c r="D55" s="52"/>
      <x:c r="E55" s="52"/>
      <x:c r="F55" s="52"/>
      <x:c r="G55" s="52"/>
      <x:c r="H55" s="52"/>
    </x:row>
    <x:row r="56" ht="34" customHeight="1">
      <x:c r="A56" s="26" t="str">
        <x:v>Reviewer Note</x:v>
      </x:c>
      <x:c r="B56" s="54" t="str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  <x:row r="58" ht="24" customHeight="1">
      <x:c r="A58" s="62" t="str">
        <x:v>RC-KPI-OPS-OPR-04 — Asset Care, 5S &amp; K3</x:v>
      </x:c>
      <x:c r="B58" s="52"/>
      <x:c r="C58" s="52"/>
      <x:c r="D58" s="52"/>
      <x:c r="E58" s="52"/>
      <x:c r="F58" s="52"/>
      <x:c r="G58" s="52"/>
      <x:c r="H58" s="52"/>
    </x:row>
    <x:row r="59" ht="24" customHeight="1">
      <x:c r="A59" s="26" t="str">
        <x:v>KPI / Phase</x:v>
      </x:c>
      <x:c r="B59" s="16" t="str">
        <x:v>Asset Care, 5S &amp; K3</x:v>
      </x:c>
      <x:c r="C59" s="52"/>
      <x:c r="D59" s="52"/>
      <x:c r="E59" s="52"/>
      <x:c r="F59" s="52"/>
      <x:c r="G59" s="52"/>
      <x:c r="H59" s="52"/>
    </x:row>
    <x:row r="60" ht="30" customHeight="1">
      <x:c r="A60" s="26" t="str">
        <x:v>Adjusted Weight</x:v>
      </x:c>
      <x:c r="B60" s="68" t="n">
        <x:v>0.15</x:v>
      </x:c>
      <x:c r="C60" s="26" t="str">
        <x:v>WI Reference</x:v>
      </x:c>
      <x:c r="D60" s="16" t="str">
        <x:v>WI-OPS-007, WI-OPS-009
Bukti: checklist 5S, log pembersihan, laporan kerusakan.</x:v>
      </x:c>
      <x:c r="E60" s="52"/>
      <x:c r="F60" s="52"/>
      <x:c r="G60" s="52"/>
      <x:c r="H60" s="52"/>
    </x:row>
    <x:row r="61" ht="36" customHeight="1">
      <x:c r="A61" s="26" t="str">
        <x:v>Objective</x:v>
      </x:c>
      <x:c r="B61" s="16" t="str">
        <x:v>Menjaga mesin, alat, dan area kerja tetap aman, bersih, rapi, dan siap dipakai batch berikutnya.</x:v>
      </x:c>
      <x:c r="C61" s="52"/>
      <x:c r="D61" s="52"/>
      <x:c r="E61" s="52"/>
      <x:c r="F61" s="52"/>
      <x:c r="G61" s="52"/>
      <x:c r="H61" s="52"/>
    </x:row>
    <x:row r="62" ht="32" customHeight="1">
      <x:c r="A62" s="26" t="str">
        <x:v>Target Baseline</x:v>
      </x:c>
      <x:c r="B62" s="16" t="str">
        <x:v>100% checklist akhir shift; 0 temuan 5S/K3 terbuka.</x:v>
      </x:c>
      <x:c r="C62" s="52"/>
      <x:c r="D62" s="52"/>
      <x:c r="E62" s="52"/>
      <x:c r="F62" s="52"/>
      <x:c r="G62" s="52"/>
      <x:c r="H62" s="52"/>
    </x:row>
    <x:row r="63">
      <x:c r="A63" s="52"/>
      <x:c r="B63" s="52"/>
      <x:c r="C63" s="52"/>
      <x:c r="D63" s="52"/>
      <x:c r="E63" s="52"/>
      <x:c r="F63" s="52"/>
      <x:c r="G63" s="52"/>
      <x:c r="H63" s="52"/>
    </x:row>
    <x:row r="64" ht="36" customHeight="1">
      <x:c r="A64" s="36" t="str">
        <x:v>No.</x:v>
      </x:c>
      <x:c r="B64" s="36" t="str">
        <x:v>KPI Detail / What to Check</x:v>
      </x:c>
      <x:c r="C64" s="36" t="str">
        <x:v>Actual Result</x:v>
      </x:c>
      <x:c r="D64" s="36" t="str">
        <x:v>Achievement %
(0–100)</x:v>
      </x:c>
      <x:c r="E64" s="36" t="str">
        <x:v>Evidence / Proof</x:v>
      </x:c>
      <x:c r="F64" s="36" t="str">
        <x:v>Status</x:v>
      </x:c>
      <x:c r="G64" s="36" t="str">
        <x:v>Issue / Root Cause</x:v>
      </x:c>
      <x:c r="H64" s="36" t="str">
        <x:v>Action / Follow-up</x:v>
      </x:c>
    </x:row>
    <x:row r="65" ht="52" customHeight="1">
      <x:c r="A65" s="16" t="n">
        <x:v>1</x:v>
      </x:c>
      <x:c r="B65" s="16" t="str">
        <x:v>100% pembersihan mesin/area pada akhir shift.</x:v>
      </x:c>
      <x:c r="C65" s="54" t="str"/>
      <x:c r="D65" s="54" t="str"/>
      <x:c r="E65" s="54" t="str"/>
      <x:c r="F65" s="46" t="str">
        <x:f>IF(D65="","",IF(D65&gt;=90,"On Track",IF(D65&gt;=80,"Good",IF(D65&gt;=70,"Need Improvement","Priority"))))</x:f>
      </x:c>
      <x:c r="G65" s="54" t="str"/>
      <x:c r="H65" s="54" t="str"/>
    </x:row>
    <x:row r="66" ht="52" customHeight="1">
      <x:c r="A66" s="16" t="n">
        <x:v>2</x:v>
      </x:c>
      <x:c r="B66" s="16" t="str">
        <x:v>0 pelanggaran 5S/K3 yang belum dikoreksi.</x:v>
      </x:c>
      <x:c r="C66" s="54" t="str"/>
      <x:c r="D66" s="54" t="str"/>
      <x:c r="E66" s="54" t="str"/>
      <x:c r="F66" s="46" t="str">
        <x:f>IF(D66="","",IF(D66&gt;=90,"On Track",IF(D66&gt;=80,"Good",IF(D66&gt;=70,"Need Improvement","Priority"))))</x:f>
      </x:c>
      <x:c r="G66" s="54" t="str"/>
      <x:c r="H66" s="54" t="str"/>
    </x:row>
    <x:row r="67" ht="52" customHeight="1">
      <x:c r="A67" s="16" t="n">
        <x:v>3</x:v>
      </x:c>
      <x:c r="B67" s="16" t="str">
        <x:v>100% gejala kerusakan mesin dilaporkan sebelum meninggalkan area kerja.</x:v>
      </x:c>
      <x:c r="C67" s="54" t="str"/>
      <x:c r="D67" s="54" t="str"/>
      <x:c r="E67" s="54" t="str"/>
      <x:c r="F67" s="46" t="str">
        <x:f>IF(D67="","",IF(D67&gt;=90,"On Track",IF(D67&gt;=80,"Good",IF(D67&gt;=70,"Need Improvement","Priority"))))</x:f>
      </x:c>
      <x:c r="G67" s="54" t="str"/>
      <x:c r="H67" s="54" t="str"/>
    </x:row>
    <x:row r="68">
      <x:c r="A68" s="26" t="str">
        <x:v>Card Score</x:v>
      </x:c>
      <x:c r="B68" s="46" t="str">
        <x:f>IF(COUNT(D65:D67)=0,"",AVERAGE(D65:D67))</x:f>
      </x:c>
      <x:c r="C68" s="26" t="str">
        <x:v>Weighted Score</x:v>
      </x:c>
      <x:c r="D68" s="46" t="str">
        <x:f>IF(B68="","",B68*$B$60)</x:f>
      </x:c>
      <x:c r="E68" s="26" t="str">
        <x:v>Card Status</x:v>
      </x:c>
      <x:c r="F68" s="46" t="str">
        <x:f>IF(COUNT(D65:D67)=0,"Waiting for Input",IF(B68&gt;=90,"On Track",IF(B68&gt;=80,"Good",IF(B68&gt;=70,"Need Improvement","Priority"))))</x:f>
        <x:v>Waiting for Input</x:v>
      </x:c>
      <x:c r="G68" s="52"/>
      <x:c r="H68" s="52"/>
    </x:row>
    <x:row r="69" ht="34" customHeight="1">
      <x:c r="A69" s="26" t="str">
        <x:v>Overall Root Cause / Key Finding</x:v>
      </x:c>
      <x:c r="B69" s="54" t="str"/>
      <x:c r="C69" s="52"/>
      <x:c r="D69" s="52"/>
      <x:c r="E69" s="52"/>
      <x:c r="F69" s="52"/>
      <x:c r="G69" s="52"/>
      <x:c r="H69" s="52"/>
    </x:row>
    <x:row r="70" ht="34" customHeight="1">
      <x:c r="A70" s="26" t="str">
        <x:v>Action Plan, PIC &amp; Due Date</x:v>
      </x:c>
      <x:c r="B70" s="54" t="str"/>
      <x:c r="C70" s="52"/>
      <x:c r="D70" s="52"/>
      <x:c r="E70" s="52"/>
      <x:c r="F70" s="52"/>
      <x:c r="G70" s="52"/>
      <x:c r="H70" s="52"/>
    </x:row>
    <x:row r="71" ht="34" customHeight="1">
      <x:c r="A71" s="26" t="str">
        <x:v>Reviewer Note</x:v>
      </x:c>
      <x:c r="B71" s="54" t="str"/>
      <x:c r="C71" s="52"/>
      <x:c r="D71" s="52"/>
      <x:c r="E71" s="52"/>
      <x:c r="F71" s="52"/>
      <x:c r="G71" s="52"/>
      <x:c r="H71" s="52"/>
    </x:row>
    <x:row r="72">
      <x:c r="A72" s="52"/>
      <x:c r="B72" s="52"/>
      <x:c r="C72" s="52"/>
      <x:c r="D72" s="52"/>
      <x:c r="E72" s="52"/>
      <x:c r="F72" s="52"/>
      <x:c r="G72" s="52"/>
      <x:c r="H72" s="52"/>
    </x:row>
    <x:row r="73">
      <x:c r="A73" s="52"/>
      <x:c r="B73" s="52"/>
      <x:c r="C73" s="52"/>
      <x:c r="D73" s="52"/>
      <x:c r="E73" s="52"/>
      <x:c r="F73" s="52"/>
      <x:c r="G73" s="52"/>
      <x:c r="H73" s="52"/>
    </x:row>
  </x:sheetData>
  <x:mergeCells>
    <x:mergeCell ref="A1:H1"/>
    <x:mergeCell ref="A5:H5"/>
    <x:mergeCell ref="A13:H13"/>
    <x:mergeCell ref="B14:H14"/>
    <x:mergeCell ref="D15:H15"/>
    <x:mergeCell ref="B16:H16"/>
    <x:mergeCell ref="B17:H17"/>
    <x:mergeCell ref="F23:H23"/>
    <x:mergeCell ref="B24:H24"/>
    <x:mergeCell ref="B25:H25"/>
    <x:mergeCell ref="B26:H26"/>
    <x:mergeCell ref="A28:H28"/>
    <x:mergeCell ref="B29:H29"/>
    <x:mergeCell ref="D30:H30"/>
    <x:mergeCell ref="B31:H31"/>
    <x:mergeCell ref="B32:H32"/>
    <x:mergeCell ref="F38:H38"/>
    <x:mergeCell ref="B39:H39"/>
    <x:mergeCell ref="B40:H40"/>
    <x:mergeCell ref="B41:H41"/>
    <x:mergeCell ref="A43:H43"/>
    <x:mergeCell ref="B44:H44"/>
    <x:mergeCell ref="D45:H45"/>
    <x:mergeCell ref="B46:H46"/>
    <x:mergeCell ref="B47:H47"/>
    <x:mergeCell ref="F53:H53"/>
    <x:mergeCell ref="B54:H54"/>
    <x:mergeCell ref="B55:H55"/>
    <x:mergeCell ref="B56:H56"/>
    <x:mergeCell ref="A58:H58"/>
    <x:mergeCell ref="B59:H59"/>
    <x:mergeCell ref="D60:H60"/>
    <x:mergeCell ref="B61:H61"/>
    <x:mergeCell ref="B62:H62"/>
    <x:mergeCell ref="F68:H68"/>
    <x:mergeCell ref="B69:H69"/>
    <x:mergeCell ref="B70:H70"/>
    <x:mergeCell ref="B71:H71"/>
    <x:mergeCell ref="A11:B11"/>
    <x:mergeCell ref="G11:H11"/>
    <x:mergeCell ref="A12:H12"/>
  </x:mergeCells>
  <x:conditionalFormatting sqref="D20:D20">
    <x:cfRule type="cellIs" dxfId="27" priority="1" operator="greaterThanOrEqual">
      <x:formula>90</x:formula>
    </x:cfRule>
    <x:cfRule type="cellIs" dxfId="28" priority="2" operator="between">
      <x:formula>70</x:formula>
    </x:cfRule>
    <x:cfRule type="cellIs" dxfId="29" priority="3" operator="lessThan">
      <x:formula>70</x:formula>
    </x:cfRule>
  </x:conditionalFormatting>
  <x:conditionalFormatting sqref="D21:D21">
    <x:cfRule type="cellIs" dxfId="30" priority="4" operator="greaterThanOrEqual">
      <x:formula>90</x:formula>
    </x:cfRule>
    <x:cfRule type="cellIs" dxfId="31" priority="5" operator="between">
      <x:formula>70</x:formula>
    </x:cfRule>
    <x:cfRule type="cellIs" dxfId="32" priority="6" operator="lessThan">
      <x:formula>70</x:formula>
    </x:cfRule>
  </x:conditionalFormatting>
  <x:conditionalFormatting sqref="D22:D22">
    <x:cfRule type="cellIs" dxfId="33" priority="7" operator="greaterThanOrEqual">
      <x:formula>90</x:formula>
    </x:cfRule>
    <x:cfRule type="cellIs" dxfId="34" priority="8" operator="between">
      <x:formula>70</x:formula>
    </x:cfRule>
    <x:cfRule type="cellIs" dxfId="35" priority="9" operator="lessThan">
      <x:formula>70</x:formula>
    </x:cfRule>
  </x:conditionalFormatting>
  <x:conditionalFormatting sqref="D35:D35">
    <x:cfRule type="cellIs" dxfId="36" priority="10" operator="greaterThanOrEqual">
      <x:formula>90</x:formula>
    </x:cfRule>
    <x:cfRule type="cellIs" dxfId="37" priority="11" operator="between">
      <x:formula>70</x:formula>
    </x:cfRule>
    <x:cfRule type="cellIs" dxfId="38" priority="12" operator="lessThan">
      <x:formula>70</x:formula>
    </x:cfRule>
  </x:conditionalFormatting>
  <x:conditionalFormatting sqref="D36:D36">
    <x:cfRule type="cellIs" dxfId="39" priority="13" operator="greaterThanOrEqual">
      <x:formula>90</x:formula>
    </x:cfRule>
    <x:cfRule type="cellIs" dxfId="40" priority="14" operator="between">
      <x:formula>70</x:formula>
    </x:cfRule>
    <x:cfRule type="cellIs" dxfId="41" priority="15" operator="lessThan">
      <x:formula>70</x:formula>
    </x:cfRule>
  </x:conditionalFormatting>
  <x:conditionalFormatting sqref="D37:D37">
    <x:cfRule type="cellIs" dxfId="42" priority="16" operator="greaterThanOrEqual">
      <x:formula>90</x:formula>
    </x:cfRule>
    <x:cfRule type="cellIs" dxfId="43" priority="17" operator="between">
      <x:formula>70</x:formula>
    </x:cfRule>
    <x:cfRule type="cellIs" dxfId="44" priority="18" operator="lessThan">
      <x:formula>70</x:formula>
    </x:cfRule>
  </x:conditionalFormatting>
  <x:conditionalFormatting sqref="D50:D50">
    <x:cfRule type="cellIs" dxfId="45" priority="19" operator="greaterThanOrEqual">
      <x:formula>90</x:formula>
    </x:cfRule>
    <x:cfRule type="cellIs" dxfId="46" priority="20" operator="between">
      <x:formula>70</x:formula>
    </x:cfRule>
    <x:cfRule type="cellIs" dxfId="47" priority="21" operator="lessThan">
      <x:formula>70</x:formula>
    </x:cfRule>
  </x:conditionalFormatting>
  <x:conditionalFormatting sqref="D51:D51">
    <x:cfRule type="cellIs" dxfId="48" priority="22" operator="greaterThanOrEqual">
      <x:formula>90</x:formula>
    </x:cfRule>
    <x:cfRule type="cellIs" dxfId="49" priority="23" operator="between">
      <x:formula>70</x:formula>
    </x:cfRule>
    <x:cfRule type="cellIs" dxfId="50" priority="24" operator="lessThan">
      <x:formula>70</x:formula>
    </x:cfRule>
  </x:conditionalFormatting>
  <x:conditionalFormatting sqref="D52:D52">
    <x:cfRule type="cellIs" dxfId="51" priority="25" operator="greaterThanOrEqual">
      <x:formula>90</x:formula>
    </x:cfRule>
    <x:cfRule type="cellIs" dxfId="52" priority="26" operator="between">
      <x:formula>70</x:formula>
    </x:cfRule>
    <x:cfRule type="cellIs" dxfId="53" priority="27" operator="lessThan">
      <x:formula>70</x:formula>
    </x:cfRule>
  </x:conditionalFormatting>
  <x:conditionalFormatting sqref="D65:D65">
    <x:cfRule type="cellIs" dxfId="54" priority="28" operator="greaterThanOrEqual">
      <x:formula>90</x:formula>
    </x:cfRule>
    <x:cfRule type="cellIs" dxfId="55" priority="29" operator="between">
      <x:formula>70</x:formula>
    </x:cfRule>
    <x:cfRule type="cellIs" dxfId="56" priority="30" operator="lessThan">
      <x:formula>70</x:formula>
    </x:cfRule>
  </x:conditionalFormatting>
  <x:conditionalFormatting sqref="D66:D66">
    <x:cfRule type="cellIs" dxfId="57" priority="31" operator="greaterThanOrEqual">
      <x:formula>90</x:formula>
    </x:cfRule>
    <x:cfRule type="cellIs" dxfId="58" priority="32" operator="between">
      <x:formula>70</x:formula>
    </x:cfRule>
    <x:cfRule type="cellIs" dxfId="59" priority="33" operator="lessThan">
      <x:formula>70</x:formula>
    </x:cfRule>
  </x:conditionalFormatting>
  <x:conditionalFormatting sqref="D67:D67">
    <x:cfRule type="cellIs" dxfId="60" priority="34" operator="greaterThanOrEqual">
      <x:formula>90</x:formula>
    </x:cfRule>
    <x:cfRule type="cellIs" dxfId="61" priority="35" operator="between">
      <x:formula>70</x:formula>
    </x:cfRule>
    <x:cfRule type="cellIs" dxfId="62" priority="36" operator="lessThan">
      <x:formula>70</x:formula>
    </x:cfRule>
  </x:conditionalFormatting>
  <x:dataValidations count="12"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22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37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  <x:dataValidation type="list" sqref="D52">
      <x:formula1>"0,5,10,15,20,25,30,35,40,45,50,55,60,65,70,75,80,85,90,95,100"</x:formula1>
    </x:dataValidation>
    <x:dataValidation type="list" sqref="D65">
      <x:formula1>"0,5,10,15,20,25,30,35,40,45,50,55,60,65,70,75,80,85,90,95,100"</x:formula1>
    </x:dataValidation>
    <x:dataValidation type="list" sqref="D66">
      <x:formula1>"0,5,10,15,20,25,30,35,40,45,50,55,60,65,70,75,80,85,90,95,100"</x:formula1>
    </x:dataValidation>
    <x:dataValidation type="list" sqref="D67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STAFF QUALITY CONTROL (QC) &amp; ASSURANCE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Operations</x:v>
      </x:c>
      <x:c r="C2" s="26" t="str">
        <x:v>KPI Code</x:v>
      </x:c>
      <x:c r="D2" s="16" t="str">
        <x:v>KPI-OPS-QC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Kepala Produksi</x:v>
      </x:c>
      <x:c r="C3" s="26" t="str">
        <x:v>Headcount Reference</x:v>
      </x:c>
      <x:c r="D3" s="16" t="str">
        <x:v>1</x:v>
      </x:c>
      <x:c r="E3" s="26" t="str">
        <x:v>Applicable KPI</x:v>
      </x:c>
      <x:c r="F3" s="16" t="n">
        <x:v>4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Final QC &amp; Kelengkapan Inspeksi</x:v>
      </x:c>
      <x:c r="C7" s="68" t="n">
        <x:v>0.4</x:v>
      </x:c>
      <x:c r="D7" s="46" t="n">
        <x:f>B23</x:f>
        <x:v>0</x:v>
      </x:c>
      <x:c r="E7" s="46" t="n">
        <x:f>D23</x:f>
        <x:v>0</x:v>
      </x:c>
      <x:c r="F7" s="46" t="str">
        <x:f>F23</x:f>
        <x:v>Waiting for Input</x:v>
      </x:c>
      <x:c r="G7" s="16" t="str">
        <x:v>WI-OPS-011
Bukti: QC form, label Lolos QC, foto sampling.</x:v>
      </x:c>
      <x:c r="H7" s="16" t="str">
        <x:v>RC-KPI-OPS-QC-01</x:v>
      </x:c>
    </x:row>
    <x:row r="8" ht="36" customHeight="1">
      <x:c r="A8" s="16" t="n">
        <x:v>2</x:v>
      </x:c>
      <x:c r="B8" s="16" t="str">
        <x:v>Defect Log &amp; Rework Closure</x:v>
      </x:c>
      <x:c r="C8" s="68" t="n">
        <x:v>0.35</x:v>
      </x:c>
      <x:c r="D8" s="46" t="n">
        <x:f>B38</x:f>
        <x:v>0</x:v>
      </x:c>
      <x:c r="E8" s="46" t="n">
        <x:f>D38</x:f>
        <x:v>0</x:v>
      </x:c>
      <x:c r="F8" s="46" t="str">
        <x:f>F38</x:f>
        <x:v>Waiting for Input</x:v>
      </x:c>
      <x:c r="G8" s="16" t="str">
        <x:v>WI-OPS-012
Bukti: defect log, instruksi rework, hasil recheck.</x:v>
      </x:c>
      <x:c r="H8" s="16" t="str">
        <x:v>RC-KPI-OPS-QC-02</x:v>
      </x:c>
    </x:row>
    <x:row r="9" ht="36" customHeight="1">
      <x:c r="A9" s="16" t="n">
        <x:v>3</x:v>
      </x:c>
      <x:c r="B9" s="16" t="str">
        <x:v>Akurasi Handover ke Gudang/Logistik</x:v>
      </x:c>
      <x:c r="C9" s="68" t="n">
        <x:v>0.15</x:v>
      </x:c>
      <x:c r="D9" s="46" t="n">
        <x:f>B53</x:f>
        <x:v>0</x:v>
      </x:c>
      <x:c r="E9" s="46" t="n">
        <x:f>D53</x:f>
        <x:v>0</x:v>
      </x:c>
      <x:c r="F9" s="46" t="str">
        <x:f>F53</x:f>
        <x:v>Waiting for Input</x:v>
      </x:c>
      <x:c r="G9" s="16" t="str">
        <x:v>WI-OPS-011, WI-OPS-013
Bukti: handover log, update Admin Ops, foto staging.</x:v>
      </x:c>
      <x:c r="H9" s="16" t="str">
        <x:v>RC-KPI-OPS-QC-03</x:v>
      </x:c>
    </x:row>
    <x:row r="10" ht="36" customHeight="1">
      <x:c r="A10" s="16" t="n">
        <x:v>4</x:v>
      </x:c>
      <x:c r="B10" s="16" t="str">
        <x:v>Analisis Mutu &amp; Perbaikan</x:v>
      </x:c>
      <x:c r="C10" s="68" t="n">
        <x:v>0.1</x:v>
      </x:c>
      <x:c r="D10" s="46" t="n">
        <x:f>B67</x:f>
        <x:v>0</x:v>
      </x:c>
      <x:c r="E10" s="46" t="n">
        <x:f>D67</x:f>
        <x:v>0</x:v>
      </x:c>
      <x:c r="F10" s="46" t="str">
        <x:f>F67</x:f>
        <x:v>Waiting for Input</x:v>
      </x:c>
      <x:c r="G10" s="16" t="str">
        <x:v>WI-OPS-012
Bukti: rekap defect, notulen review QC.</x:v>
      </x:c>
      <x:c r="H10" s="16" t="str">
        <x:v>RC-KPI-OPS-QC-04</x:v>
      </x:c>
    </x:row>
    <x:row r="11">
      <x:c r="A11" s="62" t="str">
        <x:v>Overall Role Score</x:v>
      </x:c>
      <x:c r="B11" s="52"/>
      <x:c r="C11" s="26" t="str">
        <x:v>Total Weight</x:v>
      </x:c>
      <x:c r="D11" s="68" t="n">
        <x:f>SUM(C7:C10)</x:f>
        <x:v>1</x:v>
      </x:c>
      <x:c r="E11" s="46" t="str">
        <x:f>IF(COUNT(D20:D22,D35:D37,D50:D52,D65:D66)=0,"",SUM(E7:E10))</x:f>
      </x:c>
      <x:c r="F11" s="26" t="str">
        <x:v>Overall Status</x:v>
      </x:c>
      <x:c r="G11" s="46" t="str">
        <x:f>IF(COUNT(D20:D22,D35:D37,D50:D52,D65:D66)=0,"Waiting for Input",IF(E11&gt;=90,"On Track",IF(E11&gt;=80,"Good",IF(E11&gt;=70,"Need Improvement","Priority"))))</x:f>
        <x:v>Waiting for Input</x:v>
      </x:c>
      <x:c r="H11" s="52"/>
    </x:row>
    <x:row r="12" ht="22" customHeight="1">
      <x:c r="A12" s="16" t="str">
        <x:v>Fill yellow cells only. Score output is calculated from the average Achievement % of KPI details in each card.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62" t="str">
        <x:v>RC-KPI-OPS-QC-01 — Final QC &amp; Kelengkapan Inspeksi</x:v>
      </x:c>
      <x:c r="B13" s="52"/>
      <x:c r="C13" s="52"/>
      <x:c r="D13" s="52"/>
      <x:c r="E13" s="52"/>
      <x:c r="F13" s="52"/>
      <x:c r="G13" s="52"/>
      <x:c r="H13" s="52"/>
    </x:row>
    <x:row r="14" ht="24" customHeight="1">
      <x:c r="A14" s="26" t="str">
        <x:v>KPI / Phase</x:v>
      </x:c>
      <x:c r="B14" s="16" t="str">
        <x:v>Final QC &amp; Kelengkapan Inspeksi</x:v>
      </x:c>
      <x:c r="C14" s="52"/>
      <x:c r="D14" s="52"/>
      <x:c r="E14" s="52"/>
      <x:c r="F14" s="52"/>
      <x:c r="G14" s="52"/>
      <x:c r="H14" s="52"/>
    </x:row>
    <x:row r="15" ht="30" customHeight="1">
      <x:c r="A15" s="26" t="str">
        <x:v>Adjusted Weight</x:v>
      </x:c>
      <x:c r="B15" s="68" t="n">
        <x:v>0.4</x:v>
      </x:c>
      <x:c r="C15" s="26" t="str">
        <x:v>WI Reference</x:v>
      </x:c>
      <x:c r="D15" s="16" t="str">
        <x:v>WI-OPS-011
Bukti: QC form, label Lolos QC, foto sampling.</x:v>
      </x:c>
      <x:c r="E15" s="52"/>
      <x:c r="F15" s="52"/>
      <x:c r="G15" s="52"/>
      <x:c r="H15" s="52"/>
    </x:row>
    <x:row r="16" ht="36" customHeight="1">
      <x:c r="A16" s="26" t="str">
        <x:v>Objective</x:v>
      </x:c>
      <x:c r="B16" s="16" t="str">
        <x:v>Memastikan seluruh batch diperiksa terhadap WO, blueprint, dan standar finishing sebelum dilepas ke staging/packing.</x:v>
      </x:c>
      <x:c r="C16" s="52"/>
      <x:c r="D16" s="52"/>
      <x:c r="E16" s="52"/>
      <x:c r="F16" s="52"/>
      <x:c r="G16" s="52"/>
      <x:c r="H16" s="52"/>
    </x:row>
    <x:row r="17" ht="32" customHeight="1">
      <x:c r="A17" s="26" t="str">
        <x:v>Target Baseline</x:v>
      </x:c>
      <x:c r="B17" s="16" t="str">
        <x:v>100% batch terinspeksi; 0 barang tanpa status QC.</x:v>
      </x:c>
      <x:c r="C17" s="52"/>
      <x:c r="D17" s="52"/>
      <x:c r="E17" s="52"/>
      <x:c r="F17" s="52"/>
      <x:c r="G17" s="52"/>
      <x:c r="H17" s="52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 ht="36" customHeight="1">
      <x:c r="A19" s="36" t="str">
        <x:v>No.</x:v>
      </x:c>
      <x:c r="B19" s="36" t="str">
        <x:v>KPI Detail / What to Check</x:v>
      </x:c>
      <x:c r="C19" s="36" t="str">
        <x:v>Actual Result</x:v>
      </x:c>
      <x:c r="D19" s="36" t="str">
        <x:v>Achievement %
(0–100)</x:v>
      </x:c>
      <x:c r="E19" s="36" t="str">
        <x:v>Evidence / Proof</x:v>
      </x:c>
      <x:c r="F19" s="36" t="str">
        <x:v>Status</x:v>
      </x:c>
      <x:c r="G19" s="36" t="str">
        <x:v>Issue / Root Cause</x:v>
      </x:c>
      <x:c r="H19" s="36" t="str">
        <x:v>Action / Follow-up</x:v>
      </x:c>
    </x:row>
    <x:row r="20" ht="52" customHeight="1">
      <x:c r="A20" s="16" t="n">
        <x:v>1</x:v>
      </x:c>
      <x:c r="B20" s="16" t="str">
        <x:v>100% batch diberi keputusan Lolos QC / Tidak Lolos QC.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2</x:v>
      </x:c>
      <x:c r="B21" s="16" t="str">
        <x:v>0 barang masuk area siap kirim tanpa status QC.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 ht="52" customHeight="1">
      <x:c r="A22" s="16" t="n">
        <x:v>3</x:v>
      </x:c>
      <x:c r="B22" s="16" t="str">
        <x:v>100% inspeksi mencakup jumlah, ukuran, visual, jahitan/rakitan, dan aksesoris.</x:v>
      </x:c>
      <x:c r="C22" s="54" t="str"/>
      <x:c r="D22" s="54" t="str"/>
      <x:c r="E22" s="54" t="str"/>
      <x:c r="F22" s="46" t="str">
        <x:f>IF(D22="","",IF(D22&gt;=90,"On Track",IF(D22&gt;=80,"Good",IF(D22&gt;=70,"Need Improvement","Priority"))))</x:f>
      </x:c>
      <x:c r="G22" s="54" t="str"/>
      <x:c r="H22" s="54" t="str"/>
    </x:row>
    <x:row r="23">
      <x:c r="A23" s="26" t="str">
        <x:v>Card Score</x:v>
      </x:c>
      <x:c r="B23" s="46" t="str">
        <x:f>IF(COUNT(D20:D22)=0,"",AVERAGE(D20:D22))</x:f>
      </x:c>
      <x:c r="C23" s="26" t="str">
        <x:v>Weighted Score</x:v>
      </x:c>
      <x:c r="D23" s="46" t="str">
        <x:f>IF(B23="","",B23*$B$15)</x:f>
      </x:c>
      <x:c r="E23" s="26" t="str">
        <x:v>Card Status</x:v>
      </x:c>
      <x:c r="F23" s="46" t="str">
        <x:f>IF(COUNT(D20:D22)=0,"Waiting for Input",IF(B23&gt;=90,"On Track",IF(B23&gt;=80,"Good",IF(B23&gt;=70,"Need Improvement","Priority"))))</x:f>
        <x:v>Waiting for Input</x:v>
      </x:c>
      <x:c r="G23" s="52"/>
      <x:c r="H23" s="52"/>
    </x:row>
    <x:row r="24" ht="34" customHeight="1">
      <x:c r="A24" s="26" t="str">
        <x:v>Overall Root Cause / Key Finding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Action Plan, PIC &amp; Due Date</x:v>
      </x:c>
      <x:c r="B25" s="54" t="str"/>
      <x:c r="C25" s="52"/>
      <x:c r="D25" s="52"/>
      <x:c r="E25" s="52"/>
      <x:c r="F25" s="52"/>
      <x:c r="G25" s="52"/>
      <x:c r="H25" s="52"/>
    </x:row>
    <x:row r="26" ht="34" customHeight="1">
      <x:c r="A26" s="26" t="str">
        <x:v>Reviewer Note</x:v>
      </x:c>
      <x:c r="B26" s="54" t="str"/>
      <x:c r="C26" s="52"/>
      <x:c r="D26" s="52"/>
      <x:c r="E26" s="52"/>
      <x:c r="F26" s="52"/>
      <x:c r="G26" s="52"/>
      <x:c r="H26" s="52"/>
    </x:row>
    <x:row r="27">
      <x:c r="A27" s="52"/>
      <x:c r="B27" s="52"/>
      <x:c r="C27" s="52"/>
      <x:c r="D27" s="52"/>
      <x:c r="E27" s="52"/>
      <x:c r="F27" s="52"/>
      <x:c r="G27" s="52"/>
      <x:c r="H27" s="52"/>
    </x:row>
    <x:row r="28" ht="24" customHeight="1">
      <x:c r="A28" s="62" t="str">
        <x:v>RC-KPI-OPS-QC-02 — Defect Log &amp; Rework Closure</x:v>
      </x:c>
      <x:c r="B28" s="52"/>
      <x:c r="C28" s="52"/>
      <x:c r="D28" s="52"/>
      <x:c r="E28" s="52"/>
      <x:c r="F28" s="52"/>
      <x:c r="G28" s="52"/>
      <x:c r="H28" s="52"/>
    </x:row>
    <x:row r="29" ht="24" customHeight="1">
      <x:c r="A29" s="26" t="str">
        <x:v>KPI / Phase</x:v>
      </x:c>
      <x:c r="B29" s="16" t="str">
        <x:v>Defect Log &amp; Rework Closure</x:v>
      </x:c>
      <x:c r="C29" s="52"/>
      <x:c r="D29" s="52"/>
      <x:c r="E29" s="52"/>
      <x:c r="F29" s="52"/>
      <x:c r="G29" s="52"/>
      <x:c r="H29" s="52"/>
    </x:row>
    <x:row r="30" ht="30" customHeight="1">
      <x:c r="A30" s="26" t="str">
        <x:v>Adjusted Weight</x:v>
      </x:c>
      <x:c r="B30" s="68" t="n">
        <x:v>0.35</x:v>
      </x:c>
      <x:c r="C30" s="26" t="str">
        <x:v>WI Reference</x:v>
      </x:c>
      <x:c r="D30" s="16" t="str">
        <x:v>WI-OPS-012
Bukti: defect log, instruksi rework, hasil recheck.</x:v>
      </x:c>
      <x:c r="E30" s="52"/>
      <x:c r="F30" s="52"/>
      <x:c r="G30" s="52"/>
      <x:c r="H30" s="52"/>
    </x:row>
    <x:row r="31" ht="36" customHeight="1">
      <x:c r="A31" s="26" t="str">
        <x:v>Objective</x:v>
      </x:c>
      <x:c r="B31" s="16" t="str">
        <x:v>Membuat defect dapat ditelusuri dan memastikan pekerjaan rework diperiksa ulang sebelum dinyatakan selesai.</x:v>
      </x:c>
      <x:c r="C31" s="52"/>
      <x:c r="D31" s="52"/>
      <x:c r="E31" s="52"/>
      <x:c r="F31" s="52"/>
      <x:c r="G31" s="52"/>
      <x:c r="H31" s="52"/>
    </x:row>
    <x:row r="32" ht="32" customHeight="1">
      <x:c r="A32" s="26" t="str">
        <x:v>Target Baseline</x:v>
      </x:c>
      <x:c r="B32" s="16" t="str">
        <x:v>100% defect &amp; recheck tercatat; 100% defect berulang dieskalasi H+1.</x:v>
      </x:c>
      <x:c r="C32" s="52"/>
      <x:c r="D32" s="52"/>
      <x:c r="E32" s="52"/>
      <x:c r="F32" s="52"/>
      <x:c r="G32" s="52"/>
      <x:c r="H32" s="52"/>
    </x:row>
    <x:row r="33">
      <x:c r="A33" s="52"/>
      <x:c r="B33" s="52"/>
      <x:c r="C33" s="52"/>
      <x:c r="D33" s="52"/>
      <x:c r="E33" s="52"/>
      <x:c r="F33" s="52"/>
      <x:c r="G33" s="52"/>
      <x:c r="H33" s="52"/>
    </x:row>
    <x:row r="34" ht="36" customHeight="1">
      <x:c r="A34" s="36" t="str">
        <x:v>No.</x:v>
      </x:c>
      <x:c r="B34" s="36" t="str">
        <x:v>KPI Detail / What to Check</x:v>
      </x:c>
      <x:c r="C34" s="36" t="str">
        <x:v>Actual Result</x:v>
      </x:c>
      <x:c r="D34" s="36" t="str">
        <x:v>Achievement %
(0–100)</x:v>
      </x:c>
      <x:c r="E34" s="36" t="str">
        <x:v>Evidence / Proof</x:v>
      </x:c>
      <x:c r="F34" s="36" t="str">
        <x:v>Status</x:v>
      </x:c>
      <x:c r="G34" s="36" t="str">
        <x:v>Issue / Root Cause</x:v>
      </x:c>
      <x:c r="H34" s="36" t="str">
        <x:v>Action / Follow-up</x:v>
      </x:c>
    </x:row>
    <x:row r="35" ht="52" customHeight="1">
      <x:c r="A35" s="16" t="n">
        <x:v>1</x:v>
      </x:c>
      <x:c r="B35" s="16" t="str">
        <x:v>100% barang tidak lolos QC dicatat pada hari yang sama.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2</x:v>
      </x:c>
      <x:c r="B36" s="16" t="str">
        <x:v>100% rework diperiksa ulang sebelum status berubah.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 ht="52" customHeight="1">
      <x:c r="A37" s="16" t="n">
        <x:v>3</x:v>
      </x:c>
      <x:c r="B37" s="16" t="str">
        <x:v>Defect berulang disampaikan ke Kepala Produksi maksimal H+1.</x:v>
      </x:c>
      <x:c r="C37" s="54" t="str"/>
      <x:c r="D37" s="54" t="str"/>
      <x:c r="E37" s="54" t="str"/>
      <x:c r="F37" s="46" t="str">
        <x:f>IF(D37="","",IF(D37&gt;=90,"On Track",IF(D37&gt;=80,"Good",IF(D37&gt;=70,"Need Improvement","Priority"))))</x:f>
      </x:c>
      <x:c r="G37" s="54" t="str"/>
      <x:c r="H37" s="54" t="str"/>
    </x:row>
    <x:row r="38">
      <x:c r="A38" s="26" t="str">
        <x:v>Card Score</x:v>
      </x:c>
      <x:c r="B38" s="46" t="str">
        <x:f>IF(COUNT(D35:D37)=0,"",AVERAGE(D35:D37))</x:f>
      </x:c>
      <x:c r="C38" s="26" t="str">
        <x:v>Weighted Score</x:v>
      </x:c>
      <x:c r="D38" s="46" t="str">
        <x:f>IF(B38="","",B38*$B$30)</x:f>
      </x:c>
      <x:c r="E38" s="26" t="str">
        <x:v>Card Status</x:v>
      </x:c>
      <x:c r="F38" s="46" t="str">
        <x:f>IF(COUNT(D35:D37)=0,"Waiting for Input",IF(B38&gt;=90,"On Track",IF(B38&gt;=80,"Good",IF(B38&gt;=70,"Need Improvement","Priority"))))</x:f>
        <x:v>Waiting for Input</x:v>
      </x:c>
      <x:c r="G38" s="52"/>
      <x:c r="H38" s="52"/>
    </x:row>
    <x:row r="39" ht="34" customHeight="1">
      <x:c r="A39" s="26" t="str">
        <x:v>Overall Root Cause / Key Finding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Action Plan, PIC &amp; Due Date</x:v>
      </x:c>
      <x:c r="B40" s="54" t="str"/>
      <x:c r="C40" s="52"/>
      <x:c r="D40" s="52"/>
      <x:c r="E40" s="52"/>
      <x:c r="F40" s="52"/>
      <x:c r="G40" s="52"/>
      <x:c r="H40" s="52"/>
    </x:row>
    <x:row r="41" ht="34" customHeight="1">
      <x:c r="A41" s="26" t="str">
        <x:v>Reviewer Note</x:v>
      </x:c>
      <x:c r="B41" s="54" t="str"/>
      <x:c r="C41" s="52"/>
      <x:c r="D41" s="52"/>
      <x:c r="E41" s="52"/>
      <x:c r="F41" s="52"/>
      <x:c r="G41" s="52"/>
      <x:c r="H41" s="52"/>
    </x:row>
    <x:row r="42">
      <x:c r="A42" s="52"/>
      <x:c r="B42" s="52"/>
      <x:c r="C42" s="52"/>
      <x:c r="D42" s="52"/>
      <x:c r="E42" s="52"/>
      <x:c r="F42" s="52"/>
      <x:c r="G42" s="52"/>
      <x:c r="H42" s="52"/>
    </x:row>
    <x:row r="43" ht="24" customHeight="1">
      <x:c r="A43" s="62" t="str">
        <x:v>RC-KPI-OPS-QC-03 — Akurasi Handover ke Gudang/Logistik</x:v>
      </x:c>
      <x:c r="B43" s="52"/>
      <x:c r="C43" s="52"/>
      <x:c r="D43" s="52"/>
      <x:c r="E43" s="52"/>
      <x:c r="F43" s="52"/>
      <x:c r="G43" s="52"/>
      <x:c r="H43" s="52"/>
    </x:row>
    <x:row r="44" ht="24" customHeight="1">
      <x:c r="A44" s="26" t="str">
        <x:v>KPI / Phase</x:v>
      </x:c>
      <x:c r="B44" s="16" t="str">
        <x:v>Akurasi Handover ke Gudang/Logistik</x:v>
      </x:c>
      <x:c r="C44" s="52"/>
      <x:c r="D44" s="52"/>
      <x:c r="E44" s="52"/>
      <x:c r="F44" s="52"/>
      <x:c r="G44" s="52"/>
      <x:c r="H44" s="52"/>
    </x:row>
    <x:row r="45" ht="30" customHeight="1">
      <x:c r="A45" s="26" t="str">
        <x:v>Adjusted Weight</x:v>
      </x:c>
      <x:c r="B45" s="68" t="n">
        <x:v>0.15</x:v>
      </x:c>
      <x:c r="C45" s="26" t="str">
        <x:v>WI Reference</x:v>
      </x:c>
      <x:c r="D45" s="16" t="str">
        <x:v>WI-OPS-011, WI-OPS-013
Bukti: handover log, update Admin Ops, foto staging.</x:v>
      </x:c>
      <x:c r="E45" s="52"/>
      <x:c r="F45" s="52"/>
      <x:c r="G45" s="52"/>
      <x:c r="H45" s="52"/>
    </x:row>
    <x:row r="46" ht="36" customHeight="1">
      <x:c r="A46" s="26" t="str">
        <x:v>Objective</x:v>
      </x:c>
      <x:c r="B46" s="16" t="str">
        <x:v>Menyerahkan data jumlah output dan status QC dengan akurat agar barang tidak tertukar atau tercampur dengan WIP/reject.</x:v>
      </x:c>
      <x:c r="C46" s="52"/>
      <x:c r="D46" s="52"/>
      <x:c r="E46" s="52"/>
      <x:c r="F46" s="52"/>
      <x:c r="G46" s="52"/>
      <x:c r="H46" s="52"/>
    </x:row>
    <x:row r="47" ht="32" customHeight="1">
      <x:c r="A47" s="26" t="str">
        <x:v>Target Baseline</x:v>
      </x:c>
      <x:c r="B47" s="16" t="str">
        <x:v>100% handover beridentitas; 0 salah handover; update same day.</x:v>
      </x:c>
      <x:c r="C47" s="52"/>
      <x:c r="D47" s="52"/>
      <x:c r="E47" s="52"/>
      <x:c r="F47" s="52"/>
      <x:c r="G47" s="52"/>
      <x:c r="H47" s="52"/>
    </x:row>
    <x:row r="48">
      <x:c r="A48" s="52"/>
      <x:c r="B48" s="52"/>
      <x:c r="C48" s="52"/>
      <x:c r="D48" s="52"/>
      <x:c r="E48" s="52"/>
      <x:c r="F48" s="52"/>
      <x:c r="G48" s="52"/>
      <x:c r="H48" s="52"/>
    </x:row>
    <x:row r="49" ht="36" customHeight="1">
      <x:c r="A49" s="36" t="str">
        <x:v>No.</x:v>
      </x:c>
      <x:c r="B49" s="36" t="str">
        <x:v>KPI Detail / What to Check</x:v>
      </x:c>
      <x:c r="C49" s="36" t="str">
        <x:v>Actual Result</x:v>
      </x:c>
      <x:c r="D49" s="36" t="str">
        <x:v>Achievement %
(0–100)</x:v>
      </x:c>
      <x:c r="E49" s="36" t="str">
        <x:v>Evidence / Proof</x:v>
      </x:c>
      <x:c r="F49" s="36" t="str">
        <x:v>Status</x:v>
      </x:c>
      <x:c r="G49" s="36" t="str">
        <x:v>Issue / Root Cause</x:v>
      </x:c>
      <x:c r="H49" s="36" t="str">
        <x:v>Action / Follow-up</x:v>
      </x:c>
    </x:row>
    <x:row r="50" ht="52" customHeight="1">
      <x:c r="A50" s="16" t="n">
        <x:v>1</x:v>
      </x:c>
      <x:c r="B50" s="16" t="str">
        <x:v>100% barang Lolos QC memiliki jumlah dan identitas order yang sesuai.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2</x:v>
      </x:c>
      <x:c r="B51" s="16" t="str">
        <x:v>0 salah handover akibat informasi QC yang tidak lengkap.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 ht="52" customHeight="1">
      <x:c r="A52" s="16" t="n">
        <x:v>3</x:v>
      </x:c>
      <x:c r="B52" s="16" t="str">
        <x:v>Update output/reject dikirim ke Admin Ops pada hari yang sama.</x:v>
      </x:c>
      <x:c r="C52" s="54" t="str"/>
      <x:c r="D52" s="54" t="str"/>
      <x:c r="E52" s="54" t="str"/>
      <x:c r="F52" s="46" t="str">
        <x:f>IF(D52="","",IF(D52&gt;=90,"On Track",IF(D52&gt;=80,"Good",IF(D52&gt;=70,"Need Improvement","Priority"))))</x:f>
      </x:c>
      <x:c r="G52" s="54" t="str"/>
      <x:c r="H52" s="54" t="str"/>
    </x:row>
    <x:row r="53">
      <x:c r="A53" s="26" t="str">
        <x:v>Card Score</x:v>
      </x:c>
      <x:c r="B53" s="46" t="str">
        <x:f>IF(COUNT(D50:D52)=0,"",AVERAGE(D50:D52))</x:f>
      </x:c>
      <x:c r="C53" s="26" t="str">
        <x:v>Weighted Score</x:v>
      </x:c>
      <x:c r="D53" s="46" t="str">
        <x:f>IF(B53="","",B53*$B$45)</x:f>
      </x:c>
      <x:c r="E53" s="26" t="str">
        <x:v>Card Status</x:v>
      </x:c>
      <x:c r="F53" s="46" t="str">
        <x:f>IF(COUNT(D50:D52)=0,"Waiting for Input",IF(B53&gt;=90,"On Track",IF(B53&gt;=80,"Good",IF(B53&gt;=70,"Need Improvement","Priority"))))</x:f>
        <x:v>Waiting for Input</x:v>
      </x:c>
      <x:c r="G53" s="52"/>
      <x:c r="H53" s="52"/>
    </x:row>
    <x:row r="54" ht="34" customHeight="1">
      <x:c r="A54" s="26" t="str">
        <x:v>Overall Root Cause / Key Finding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Action Plan, PIC &amp; Due Date</x:v>
      </x:c>
      <x:c r="B55" s="54" t="str"/>
      <x:c r="C55" s="52"/>
      <x:c r="D55" s="52"/>
      <x:c r="E55" s="52"/>
      <x:c r="F55" s="52"/>
      <x:c r="G55" s="52"/>
      <x:c r="H55" s="52"/>
    </x:row>
    <x:row r="56" ht="34" customHeight="1">
      <x:c r="A56" s="26" t="str">
        <x:v>Reviewer Note</x:v>
      </x:c>
      <x:c r="B56" s="54" t="str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  <x:row r="58" ht="24" customHeight="1">
      <x:c r="A58" s="62" t="str">
        <x:v>RC-KPI-OPS-QC-04 — Analisis Mutu &amp; Perbaikan</x:v>
      </x:c>
      <x:c r="B58" s="52"/>
      <x:c r="C58" s="52"/>
      <x:c r="D58" s="52"/>
      <x:c r="E58" s="52"/>
      <x:c r="F58" s="52"/>
      <x:c r="G58" s="52"/>
      <x:c r="H58" s="52"/>
    </x:row>
    <x:row r="59" ht="24" customHeight="1">
      <x:c r="A59" s="26" t="str">
        <x:v>KPI / Phase</x:v>
      </x:c>
      <x:c r="B59" s="16" t="str">
        <x:v>Analisis Mutu &amp; Perbaikan</x:v>
      </x:c>
      <x:c r="C59" s="52"/>
      <x:c r="D59" s="52"/>
      <x:c r="E59" s="52"/>
      <x:c r="F59" s="52"/>
      <x:c r="G59" s="52"/>
      <x:c r="H59" s="52"/>
    </x:row>
    <x:row r="60" ht="30" customHeight="1">
      <x:c r="A60" s="26" t="str">
        <x:v>Adjusted Weight</x:v>
      </x:c>
      <x:c r="B60" s="68" t="n">
        <x:v>0.1</x:v>
      </x:c>
      <x:c r="C60" s="26" t="str">
        <x:v>WI Reference</x:v>
      </x:c>
      <x:c r="D60" s="16" t="str">
        <x:v>WI-OPS-012
Bukti: rekap defect, notulen review QC.</x:v>
      </x:c>
      <x:c r="E60" s="52"/>
      <x:c r="F60" s="52"/>
      <x:c r="G60" s="52"/>
      <x:c r="H60" s="52"/>
    </x:row>
    <x:row r="61" ht="36" customHeight="1">
      <x:c r="A61" s="26" t="str">
        <x:v>Objective</x:v>
      </x:c>
      <x:c r="B61" s="16" t="str">
        <x:v>Menyajikan insight sederhana tentang defect paling dominan agar tindakan korektif dapat diprioritaskan.</x:v>
      </x:c>
      <x:c r="C61" s="52"/>
      <x:c r="D61" s="52"/>
      <x:c r="E61" s="52"/>
      <x:c r="F61" s="52"/>
      <x:c r="G61" s="52"/>
      <x:c r="H61" s="52"/>
    </x:row>
    <x:row r="62" ht="32" customHeight="1">
      <x:c r="A62" s="26" t="str">
        <x:v>Target Baseline</x:v>
      </x:c>
      <x:c r="B62" s="16" t="str">
        <x:v>4 rekap/minggu; 1 review defect dominan/bulan.</x:v>
      </x:c>
      <x:c r="C62" s="52"/>
      <x:c r="D62" s="52"/>
      <x:c r="E62" s="52"/>
      <x:c r="F62" s="52"/>
      <x:c r="G62" s="52"/>
      <x:c r="H62" s="52"/>
    </x:row>
    <x:row r="63">
      <x:c r="A63" s="52"/>
      <x:c r="B63" s="52"/>
      <x:c r="C63" s="52"/>
      <x:c r="D63" s="52"/>
      <x:c r="E63" s="52"/>
      <x:c r="F63" s="52"/>
      <x:c r="G63" s="52"/>
      <x:c r="H63" s="52"/>
    </x:row>
    <x:row r="64" ht="36" customHeight="1">
      <x:c r="A64" s="36" t="str">
        <x:v>No.</x:v>
      </x:c>
      <x:c r="B64" s="36" t="str">
        <x:v>KPI Detail / What to Check</x:v>
      </x:c>
      <x:c r="C64" s="36" t="str">
        <x:v>Actual Result</x:v>
      </x:c>
      <x:c r="D64" s="36" t="str">
        <x:v>Achievement %
(0–100)</x:v>
      </x:c>
      <x:c r="E64" s="36" t="str">
        <x:v>Evidence / Proof</x:v>
      </x:c>
      <x:c r="F64" s="36" t="str">
        <x:v>Status</x:v>
      </x:c>
      <x:c r="G64" s="36" t="str">
        <x:v>Issue / Root Cause</x:v>
      </x:c>
      <x:c r="H64" s="36" t="str">
        <x:v>Action / Follow-up</x:v>
      </x:c>
    </x:row>
    <x:row r="65" ht="52" customHeight="1">
      <x:c r="A65" s="16" t="n">
        <x:v>1</x:v>
      </x:c>
      <x:c r="B65" s="16" t="str">
        <x:v>Rekap defect mingguan dibuat 4x/bulan.</x:v>
      </x:c>
      <x:c r="C65" s="54" t="str"/>
      <x:c r="D65" s="54" t="str"/>
      <x:c r="E65" s="54" t="str"/>
      <x:c r="F65" s="46" t="str">
        <x:f>IF(D65="","",IF(D65&gt;=90,"On Track",IF(D65&gt;=80,"Good",IF(D65&gt;=70,"Need Improvement","Priority"))))</x:f>
      </x:c>
      <x:c r="G65" s="54" t="str"/>
      <x:c r="H65" s="54" t="str"/>
    </x:row>
    <x:row r="66" ht="52" customHeight="1">
      <x:c r="A66" s="16" t="n">
        <x:v>2</x:v>
      </x:c>
      <x:c r="B66" s="16" t="str">
        <x:v>Minimal 1 temuan defect dominan dibahas bersama Kepala Produksi setiap bulan.</x:v>
      </x:c>
      <x:c r="C66" s="54" t="str"/>
      <x:c r="D66" s="54" t="str"/>
      <x:c r="E66" s="54" t="str"/>
      <x:c r="F66" s="46" t="str">
        <x:f>IF(D66="","",IF(D66&gt;=90,"On Track",IF(D66&gt;=80,"Good",IF(D66&gt;=70,"Need Improvement","Priority"))))</x:f>
      </x:c>
      <x:c r="G66" s="54" t="str"/>
      <x:c r="H66" s="54" t="str"/>
    </x:row>
    <x:row r="67">
      <x:c r="A67" s="26" t="str">
        <x:v>Card Score</x:v>
      </x:c>
      <x:c r="B67" s="46" t="str">
        <x:f>IF(COUNT(D65:D66)=0,"",AVERAGE(D65:D66))</x:f>
      </x:c>
      <x:c r="C67" s="26" t="str">
        <x:v>Weighted Score</x:v>
      </x:c>
      <x:c r="D67" s="46" t="str">
        <x:f>IF(B67="","",B67*$B$60)</x:f>
      </x:c>
      <x:c r="E67" s="26" t="str">
        <x:v>Card Status</x:v>
      </x:c>
      <x:c r="F67" s="46" t="str">
        <x:f>IF(COUNT(D65:D66)=0,"Waiting for Input",IF(B67&gt;=90,"On Track",IF(B67&gt;=80,"Good",IF(B67&gt;=70,"Need Improvement","Priority"))))</x:f>
        <x:v>Waiting for Input</x:v>
      </x:c>
      <x:c r="G67" s="52"/>
      <x:c r="H67" s="52"/>
    </x:row>
    <x:row r="68" ht="34" customHeight="1">
      <x:c r="A68" s="26" t="str">
        <x:v>Overall Root Cause / Key Finding</x:v>
      </x:c>
      <x:c r="B68" s="54" t="str"/>
      <x:c r="C68" s="52"/>
      <x:c r="D68" s="52"/>
      <x:c r="E68" s="52"/>
      <x:c r="F68" s="52"/>
      <x:c r="G68" s="52"/>
      <x:c r="H68" s="52"/>
    </x:row>
    <x:row r="69" ht="34" customHeight="1">
      <x:c r="A69" s="26" t="str">
        <x:v>Action Plan, PIC &amp; Due Date</x:v>
      </x:c>
      <x:c r="B69" s="54" t="str"/>
      <x:c r="C69" s="52"/>
      <x:c r="D69" s="52"/>
      <x:c r="E69" s="52"/>
      <x:c r="F69" s="52"/>
      <x:c r="G69" s="52"/>
      <x:c r="H69" s="52"/>
    </x:row>
    <x:row r="70" ht="34" customHeight="1">
      <x:c r="A70" s="26" t="str">
        <x:v>Reviewer Note</x:v>
      </x:c>
      <x:c r="B70" s="54" t="str"/>
      <x:c r="C70" s="52"/>
      <x:c r="D70" s="52"/>
      <x:c r="E70" s="52"/>
      <x:c r="F70" s="52"/>
      <x:c r="G70" s="52"/>
      <x:c r="H70" s="52"/>
    </x:row>
    <x:row r="71">
      <x:c r="A71" s="52"/>
      <x:c r="B71" s="52"/>
      <x:c r="C71" s="52"/>
      <x:c r="D71" s="52"/>
      <x:c r="E71" s="52"/>
      <x:c r="F71" s="52"/>
      <x:c r="G71" s="52"/>
      <x:c r="H71" s="52"/>
    </x:row>
    <x:row r="72">
      <x:c r="A72" s="52"/>
      <x:c r="B72" s="52"/>
      <x:c r="C72" s="52"/>
      <x:c r="D72" s="52"/>
      <x:c r="E72" s="52"/>
      <x:c r="F72" s="52"/>
      <x:c r="G72" s="52"/>
      <x:c r="H72" s="52"/>
    </x:row>
  </x:sheetData>
  <x:mergeCells>
    <x:mergeCell ref="A1:H1"/>
    <x:mergeCell ref="A5:H5"/>
    <x:mergeCell ref="A13:H13"/>
    <x:mergeCell ref="B14:H14"/>
    <x:mergeCell ref="D15:H15"/>
    <x:mergeCell ref="B16:H16"/>
    <x:mergeCell ref="B17:H17"/>
    <x:mergeCell ref="F23:H23"/>
    <x:mergeCell ref="B24:H24"/>
    <x:mergeCell ref="B25:H25"/>
    <x:mergeCell ref="B26:H26"/>
    <x:mergeCell ref="A28:H28"/>
    <x:mergeCell ref="B29:H29"/>
    <x:mergeCell ref="D30:H30"/>
    <x:mergeCell ref="B31:H31"/>
    <x:mergeCell ref="B32:H32"/>
    <x:mergeCell ref="F38:H38"/>
    <x:mergeCell ref="B39:H39"/>
    <x:mergeCell ref="B40:H40"/>
    <x:mergeCell ref="B41:H41"/>
    <x:mergeCell ref="A43:H43"/>
    <x:mergeCell ref="B44:H44"/>
    <x:mergeCell ref="D45:H45"/>
    <x:mergeCell ref="B46:H46"/>
    <x:mergeCell ref="B47:H47"/>
    <x:mergeCell ref="F53:H53"/>
    <x:mergeCell ref="B54:H54"/>
    <x:mergeCell ref="B55:H55"/>
    <x:mergeCell ref="B56:H56"/>
    <x:mergeCell ref="A58:H58"/>
    <x:mergeCell ref="B59:H59"/>
    <x:mergeCell ref="D60:H60"/>
    <x:mergeCell ref="B61:H61"/>
    <x:mergeCell ref="B62:H62"/>
    <x:mergeCell ref="F67:H67"/>
    <x:mergeCell ref="B68:H68"/>
    <x:mergeCell ref="B69:H69"/>
    <x:mergeCell ref="B70:H70"/>
    <x:mergeCell ref="A11:B11"/>
    <x:mergeCell ref="G11:H11"/>
    <x:mergeCell ref="A12:H12"/>
  </x:mergeCells>
  <x:conditionalFormatting sqref="D20:D20">
    <x:cfRule type="cellIs" dxfId="63" priority="1" operator="greaterThanOrEqual">
      <x:formula>90</x:formula>
    </x:cfRule>
    <x:cfRule type="cellIs" dxfId="64" priority="2" operator="between">
      <x:formula>70</x:formula>
    </x:cfRule>
    <x:cfRule type="cellIs" dxfId="65" priority="3" operator="lessThan">
      <x:formula>70</x:formula>
    </x:cfRule>
  </x:conditionalFormatting>
  <x:conditionalFormatting sqref="D21:D21">
    <x:cfRule type="cellIs" dxfId="66" priority="4" operator="greaterThanOrEqual">
      <x:formula>90</x:formula>
    </x:cfRule>
    <x:cfRule type="cellIs" dxfId="67" priority="5" operator="between">
      <x:formula>70</x:formula>
    </x:cfRule>
    <x:cfRule type="cellIs" dxfId="68" priority="6" operator="lessThan">
      <x:formula>70</x:formula>
    </x:cfRule>
  </x:conditionalFormatting>
  <x:conditionalFormatting sqref="D22:D22">
    <x:cfRule type="cellIs" dxfId="69" priority="7" operator="greaterThanOrEqual">
      <x:formula>90</x:formula>
    </x:cfRule>
    <x:cfRule type="cellIs" dxfId="70" priority="8" operator="between">
      <x:formula>70</x:formula>
    </x:cfRule>
    <x:cfRule type="cellIs" dxfId="71" priority="9" operator="lessThan">
      <x:formula>70</x:formula>
    </x:cfRule>
  </x:conditionalFormatting>
  <x:conditionalFormatting sqref="D35:D35">
    <x:cfRule type="cellIs" dxfId="72" priority="10" operator="greaterThanOrEqual">
      <x:formula>90</x:formula>
    </x:cfRule>
    <x:cfRule type="cellIs" dxfId="73" priority="11" operator="between">
      <x:formula>70</x:formula>
    </x:cfRule>
    <x:cfRule type="cellIs" dxfId="74" priority="12" operator="lessThan">
      <x:formula>70</x:formula>
    </x:cfRule>
  </x:conditionalFormatting>
  <x:conditionalFormatting sqref="D36:D36">
    <x:cfRule type="cellIs" dxfId="75" priority="13" operator="greaterThanOrEqual">
      <x:formula>90</x:formula>
    </x:cfRule>
    <x:cfRule type="cellIs" dxfId="76" priority="14" operator="between">
      <x:formula>70</x:formula>
    </x:cfRule>
    <x:cfRule type="cellIs" dxfId="77" priority="15" operator="lessThan">
      <x:formula>70</x:formula>
    </x:cfRule>
  </x:conditionalFormatting>
  <x:conditionalFormatting sqref="D37:D37">
    <x:cfRule type="cellIs" dxfId="78" priority="16" operator="greaterThanOrEqual">
      <x:formula>90</x:formula>
    </x:cfRule>
    <x:cfRule type="cellIs" dxfId="79" priority="17" operator="between">
      <x:formula>70</x:formula>
    </x:cfRule>
    <x:cfRule type="cellIs" dxfId="80" priority="18" operator="lessThan">
      <x:formula>70</x:formula>
    </x:cfRule>
  </x:conditionalFormatting>
  <x:conditionalFormatting sqref="D50:D50">
    <x:cfRule type="cellIs" dxfId="81" priority="19" operator="greaterThanOrEqual">
      <x:formula>90</x:formula>
    </x:cfRule>
    <x:cfRule type="cellIs" dxfId="82" priority="20" operator="between">
      <x:formula>70</x:formula>
    </x:cfRule>
    <x:cfRule type="cellIs" dxfId="83" priority="21" operator="lessThan">
      <x:formula>70</x:formula>
    </x:cfRule>
  </x:conditionalFormatting>
  <x:conditionalFormatting sqref="D51:D51">
    <x:cfRule type="cellIs" dxfId="84" priority="22" operator="greaterThanOrEqual">
      <x:formula>90</x:formula>
    </x:cfRule>
    <x:cfRule type="cellIs" dxfId="85" priority="23" operator="between">
      <x:formula>70</x:formula>
    </x:cfRule>
    <x:cfRule type="cellIs" dxfId="86" priority="24" operator="lessThan">
      <x:formula>70</x:formula>
    </x:cfRule>
  </x:conditionalFormatting>
  <x:conditionalFormatting sqref="D52:D52">
    <x:cfRule type="cellIs" dxfId="87" priority="25" operator="greaterThanOrEqual">
      <x:formula>90</x:formula>
    </x:cfRule>
    <x:cfRule type="cellIs" dxfId="88" priority="26" operator="between">
      <x:formula>70</x:formula>
    </x:cfRule>
    <x:cfRule type="cellIs" dxfId="89" priority="27" operator="lessThan">
      <x:formula>70</x:formula>
    </x:cfRule>
  </x:conditionalFormatting>
  <x:conditionalFormatting sqref="D65:D65">
    <x:cfRule type="cellIs" dxfId="90" priority="28" operator="greaterThanOrEqual">
      <x:formula>90</x:formula>
    </x:cfRule>
    <x:cfRule type="cellIs" dxfId="91" priority="29" operator="between">
      <x:formula>70</x:formula>
    </x:cfRule>
    <x:cfRule type="cellIs" dxfId="92" priority="30" operator="lessThan">
      <x:formula>70</x:formula>
    </x:cfRule>
  </x:conditionalFormatting>
  <x:conditionalFormatting sqref="D66:D66">
    <x:cfRule type="cellIs" dxfId="93" priority="31" operator="greaterThanOrEqual">
      <x:formula>90</x:formula>
    </x:cfRule>
    <x:cfRule type="cellIs" dxfId="94" priority="32" operator="between">
      <x:formula>70</x:formula>
    </x:cfRule>
    <x:cfRule type="cellIs" dxfId="95" priority="33" operator="lessThan">
      <x:formula>70</x:formula>
    </x:cfRule>
  </x:conditionalFormatting>
  <x:dataValidations count="11"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22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37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  <x:dataValidation type="list" sqref="D52">
      <x:formula1>"0,5,10,15,20,25,30,35,40,45,50,55,60,65,70,75,80,85,90,95,100"</x:formula1>
    </x:dataValidation>
    <x:dataValidation type="list" sqref="D65">
      <x:formula1>"0,5,10,15,20,25,30,35,40,45,50,55,60,65,70,75,80,85,90,95,100"</x:formula1>
    </x:dataValidation>
    <x:dataValidation type="list" sqref="D66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STAFF GUDANG &amp; SOURCING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Operations</x:v>
      </x:c>
      <x:c r="C2" s="26" t="str">
        <x:v>KPI Code</x:v>
      </x:c>
      <x:c r="D2" s="16" t="str">
        <x:v>KPI-OPS-WHS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Kepala Produksi</x:v>
      </x:c>
      <x:c r="C3" s="26" t="str">
        <x:v>Headcount Reference</x:v>
      </x:c>
      <x:c r="D3" s="16" t="str">
        <x:v>2</x:v>
      </x:c>
      <x:c r="E3" s="26" t="str">
        <x:v>Applicable KPI</x:v>
      </x:c>
      <x:c r="F3" s="16" t="n">
        <x:v>4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Akurasi Stok &amp; Kesiapan Bahan</x:v>
      </x:c>
      <x:c r="C7" s="68" t="n">
        <x:v>0.4</x:v>
      </x:c>
      <x:c r="D7" s="46" t="n">
        <x:f>B23</x:f>
        <x:v>0</x:v>
      </x:c>
      <x:c r="E7" s="46" t="n">
        <x:f>D23</x:f>
        <x:v>0</x:v>
      </x:c>
      <x:c r="F7" s="46" t="str">
        <x:f>F23</x:f>
        <x:v>Waiting for Input</x:v>
      </x:c>
      <x:c r="G7" s="16" t="str">
        <x:v>WI-OPS-005, WI-OPS-006
Bukti: kartu stok, stock opname, form bahan keluar.</x:v>
      </x:c>
      <x:c r="H7" s="16" t="str">
        <x:v>RC-KPI-OPS-WHS-01</x:v>
      </x:c>
    </x:row>
    <x:row r="8" ht="36" customHeight="1">
      <x:c r="A8" s="16" t="n">
        <x:v>2</x:v>
      </x:c>
      <x:c r="B8" s="16" t="str">
        <x:v>Sourcing &amp; Penerimaan Bahan</x:v>
      </x:c>
      <x:c r="C8" s="68" t="n">
        <x:v>0.3</x:v>
      </x:c>
      <x:c r="D8" s="46" t="n">
        <x:f>B38</x:f>
        <x:v>0</x:v>
      </x:c>
      <x:c r="E8" s="46" t="n">
        <x:f>D38</x:f>
        <x:v>0</x:v>
      </x:c>
      <x:c r="F8" s="46" t="str">
        <x:f>F38</x:f>
        <x:v>Waiting for Input</x:v>
      </x:c>
      <x:c r="G8" s="16" t="str">
        <x:v>WI-OPS-006
Bukti: PO/permintaan pembelian, checklist inbound, catatan supplier.</x:v>
      </x:c>
      <x:c r="H8" s="16" t="str">
        <x:v>RC-KPI-OPS-WHS-02</x:v>
      </x:c>
    </x:row>
    <x:row r="9" ht="36" customHeight="1">
      <x:c r="A9" s="16" t="n">
        <x:v>3</x:v>
      </x:c>
      <x:c r="B9" s="16" t="str">
        <x:v>Staging Barang Jadi &amp; Handover</x:v>
      </x:c>
      <x:c r="C9" s="68" t="n">
        <x:v>0.2</x:v>
      </x:c>
      <x:c r="D9" s="46" t="n">
        <x:f>B53</x:f>
        <x:v>0</x:v>
      </x:c>
      <x:c r="E9" s="46" t="n">
        <x:f>D53</x:f>
        <x:v>0</x:v>
      </x:c>
      <x:c r="F9" s="46" t="str">
        <x:f>F53</x:f>
        <x:v>Waiting for Input</x:v>
      </x:c>
      <x:c r="G9" s="16" t="str">
        <x:v>WI-OPS-013
Bukti: staging log, label area, handover list.</x:v>
      </x:c>
      <x:c r="H9" s="16" t="str">
        <x:v>RC-KPI-OPS-WHS-03</x:v>
      </x:c>
    </x:row>
    <x:row r="10" ht="36" customHeight="1">
      <x:c r="A10" s="16" t="n">
        <x:v>4</x:v>
      </x:c>
      <x:c r="B10" s="16" t="str">
        <x:v>Early Warning Stok Kritis</x:v>
      </x:c>
      <x:c r="C10" s="68" t="n">
        <x:v>0.1</x:v>
      </x:c>
      <x:c r="D10" s="46" t="n">
        <x:f>B67</x:f>
        <x:v>0</x:v>
      </x:c>
      <x:c r="E10" s="46" t="n">
        <x:f>D67</x:f>
        <x:v>0</x:v>
      </x:c>
      <x:c r="F10" s="46" t="str">
        <x:f>F67</x:f>
        <x:v>Waiting for Input</x:v>
      </x:c>
      <x:c r="G10" s="16" t="str">
        <x:v>WI-OPS-005, WI-OPS-006
Bukti: notifikasi reorder, daftar stok kritis.</x:v>
      </x:c>
      <x:c r="H10" s="16" t="str">
        <x:v>RC-KPI-OPS-WHS-04</x:v>
      </x:c>
    </x:row>
    <x:row r="11">
      <x:c r="A11" s="62" t="str">
        <x:v>Overall Role Score</x:v>
      </x:c>
      <x:c r="B11" s="52"/>
      <x:c r="C11" s="26" t="str">
        <x:v>Total Weight</x:v>
      </x:c>
      <x:c r="D11" s="68" t="n">
        <x:f>SUM(C7:C10)</x:f>
        <x:v>0.9999999999999999</x:v>
      </x:c>
      <x:c r="E11" s="46" t="str">
        <x:f>IF(COUNT(D20:D22,D35:D37,D50:D52,D65:D66)=0,"",SUM(E7:E10))</x:f>
      </x:c>
      <x:c r="F11" s="26" t="str">
        <x:v>Overall Status</x:v>
      </x:c>
      <x:c r="G11" s="46" t="str">
        <x:f>IF(COUNT(D20:D22,D35:D37,D50:D52,D65:D66)=0,"Waiting for Input",IF(E11&gt;=90,"On Track",IF(E11&gt;=80,"Good",IF(E11&gt;=70,"Need Improvement","Priority"))))</x:f>
        <x:v>Waiting for Input</x:v>
      </x:c>
      <x:c r="H11" s="52"/>
    </x:row>
    <x:row r="12" ht="22" customHeight="1">
      <x:c r="A12" s="16" t="str">
        <x:v>Fill yellow cells only. Score output is calculated from the average Achievement % of KPI details in each card.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62" t="str">
        <x:v>RC-KPI-OPS-WHS-01 — Akurasi Stok &amp; Kesiapan Bahan</x:v>
      </x:c>
      <x:c r="B13" s="52"/>
      <x:c r="C13" s="52"/>
      <x:c r="D13" s="52"/>
      <x:c r="E13" s="52"/>
      <x:c r="F13" s="52"/>
      <x:c r="G13" s="52"/>
      <x:c r="H13" s="52"/>
    </x:row>
    <x:row r="14" ht="24" customHeight="1">
      <x:c r="A14" s="26" t="str">
        <x:v>KPI / Phase</x:v>
      </x:c>
      <x:c r="B14" s="16" t="str">
        <x:v>Akurasi Stok &amp; Kesiapan Bahan</x:v>
      </x:c>
      <x:c r="C14" s="52"/>
      <x:c r="D14" s="52"/>
      <x:c r="E14" s="52"/>
      <x:c r="F14" s="52"/>
      <x:c r="G14" s="52"/>
      <x:c r="H14" s="52"/>
    </x:row>
    <x:row r="15" ht="30" customHeight="1">
      <x:c r="A15" s="26" t="str">
        <x:v>Adjusted Weight</x:v>
      </x:c>
      <x:c r="B15" s="68" t="n">
        <x:v>0.4</x:v>
      </x:c>
      <x:c r="C15" s="26" t="str">
        <x:v>WI Reference</x:v>
      </x:c>
      <x:c r="D15" s="16" t="str">
        <x:v>WI-OPS-005, WI-OPS-006
Bukti: kartu stok, stock opname, form bahan keluar.</x:v>
      </x:c>
      <x:c r="E15" s="52"/>
      <x:c r="F15" s="52"/>
      <x:c r="G15" s="52"/>
      <x:c r="H15" s="52"/>
    </x:row>
    <x:row r="16" ht="36" customHeight="1">
      <x:c r="A16" s="26" t="str">
        <x:v>Objective</x:v>
      </x:c>
      <x:c r="B16" s="16" t="str">
        <x:v>Menjaga bahan siap digunakan dan data stok dapat dipercaya untuk menyusun rencana produksi.</x:v>
      </x:c>
      <x:c r="C16" s="52"/>
      <x:c r="D16" s="52"/>
      <x:c r="E16" s="52"/>
      <x:c r="F16" s="52"/>
      <x:c r="G16" s="52"/>
      <x:c r="H16" s="52"/>
    </x:row>
    <x:row r="17" ht="32" customHeight="1">
      <x:c r="A17" s="26" t="str">
        <x:v>Target Baseline</x:v>
      </x:c>
      <x:c r="B17" s="16" t="str">
        <x:v>Akurasi stok ≥98%; 100% mutasi same day; 0 stock data error kritis.</x:v>
      </x:c>
      <x:c r="C17" s="52"/>
      <x:c r="D17" s="52"/>
      <x:c r="E17" s="52"/>
      <x:c r="F17" s="52"/>
      <x:c r="G17" s="52"/>
      <x:c r="H17" s="52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 ht="36" customHeight="1">
      <x:c r="A19" s="36" t="str">
        <x:v>No.</x:v>
      </x:c>
      <x:c r="B19" s="36" t="str">
        <x:v>KPI Detail / What to Check</x:v>
      </x:c>
      <x:c r="C19" s="36" t="str">
        <x:v>Actual Result</x:v>
      </x:c>
      <x:c r="D19" s="36" t="str">
        <x:v>Achievement %
(0–100)</x:v>
      </x:c>
      <x:c r="E19" s="36" t="str">
        <x:v>Evidence / Proof</x:v>
      </x:c>
      <x:c r="F19" s="36" t="str">
        <x:v>Status</x:v>
      </x:c>
      <x:c r="G19" s="36" t="str">
        <x:v>Issue / Root Cause</x:v>
      </x:c>
      <x:c r="H19" s="36" t="str">
        <x:v>Action / Follow-up</x:v>
      </x:c>
    </x:row>
    <x:row r="20" ht="52" customHeight="1">
      <x:c r="A20" s="16" t="n">
        <x:v>1</x:v>
      </x:c>
      <x:c r="B20" s="16" t="str">
        <x:v>Akurasi stock opname ≥98%.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2</x:v>
      </x:c>
      <x:c r="B21" s="16" t="str">
        <x:v>100% mutasi bahan masuk/keluar dicatat pada hari yang sama.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 ht="52" customHeight="1">
      <x:c r="A22" s="16" t="n">
        <x:v>3</x:v>
      </x:c>
      <x:c r="B22" s="16" t="str">
        <x:v>0 WO tertunda karena bahan seharusnya tersedia namun tidak tercatat.</x:v>
      </x:c>
      <x:c r="C22" s="54" t="str"/>
      <x:c r="D22" s="54" t="str"/>
      <x:c r="E22" s="54" t="str"/>
      <x:c r="F22" s="46" t="str">
        <x:f>IF(D22="","",IF(D22&gt;=90,"On Track",IF(D22&gt;=80,"Good",IF(D22&gt;=70,"Need Improvement","Priority"))))</x:f>
      </x:c>
      <x:c r="G22" s="54" t="str"/>
      <x:c r="H22" s="54" t="str"/>
    </x:row>
    <x:row r="23">
      <x:c r="A23" s="26" t="str">
        <x:v>Card Score</x:v>
      </x:c>
      <x:c r="B23" s="46" t="str">
        <x:f>IF(COUNT(D20:D22)=0,"",AVERAGE(D20:D22))</x:f>
      </x:c>
      <x:c r="C23" s="26" t="str">
        <x:v>Weighted Score</x:v>
      </x:c>
      <x:c r="D23" s="46" t="str">
        <x:f>IF(B23="","",B23*$B$15)</x:f>
      </x:c>
      <x:c r="E23" s="26" t="str">
        <x:v>Card Status</x:v>
      </x:c>
      <x:c r="F23" s="46" t="str">
        <x:f>IF(COUNT(D20:D22)=0,"Waiting for Input",IF(B23&gt;=90,"On Track",IF(B23&gt;=80,"Good",IF(B23&gt;=70,"Need Improvement","Priority"))))</x:f>
        <x:v>Waiting for Input</x:v>
      </x:c>
      <x:c r="G23" s="52"/>
      <x:c r="H23" s="52"/>
    </x:row>
    <x:row r="24" ht="34" customHeight="1">
      <x:c r="A24" s="26" t="str">
        <x:v>Overall Root Cause / Key Finding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Action Plan, PIC &amp; Due Date</x:v>
      </x:c>
      <x:c r="B25" s="54" t="str"/>
      <x:c r="C25" s="52"/>
      <x:c r="D25" s="52"/>
      <x:c r="E25" s="52"/>
      <x:c r="F25" s="52"/>
      <x:c r="G25" s="52"/>
      <x:c r="H25" s="52"/>
    </x:row>
    <x:row r="26" ht="34" customHeight="1">
      <x:c r="A26" s="26" t="str">
        <x:v>Reviewer Note</x:v>
      </x:c>
      <x:c r="B26" s="54" t="str"/>
      <x:c r="C26" s="52"/>
      <x:c r="D26" s="52"/>
      <x:c r="E26" s="52"/>
      <x:c r="F26" s="52"/>
      <x:c r="G26" s="52"/>
      <x:c r="H26" s="52"/>
    </x:row>
    <x:row r="27">
      <x:c r="A27" s="52"/>
      <x:c r="B27" s="52"/>
      <x:c r="C27" s="52"/>
      <x:c r="D27" s="52"/>
      <x:c r="E27" s="52"/>
      <x:c r="F27" s="52"/>
      <x:c r="G27" s="52"/>
      <x:c r="H27" s="52"/>
    </x:row>
    <x:row r="28" ht="24" customHeight="1">
      <x:c r="A28" s="62" t="str">
        <x:v>RC-KPI-OPS-WHS-02 — Sourcing &amp; Penerimaan Bahan</x:v>
      </x:c>
      <x:c r="B28" s="52"/>
      <x:c r="C28" s="52"/>
      <x:c r="D28" s="52"/>
      <x:c r="E28" s="52"/>
      <x:c r="F28" s="52"/>
      <x:c r="G28" s="52"/>
      <x:c r="H28" s="52"/>
    </x:row>
    <x:row r="29" ht="24" customHeight="1">
      <x:c r="A29" s="26" t="str">
        <x:v>KPI / Phase</x:v>
      </x:c>
      <x:c r="B29" s="16" t="str">
        <x:v>Sourcing &amp; Penerimaan Bahan</x:v>
      </x:c>
      <x:c r="C29" s="52"/>
      <x:c r="D29" s="52"/>
      <x:c r="E29" s="52"/>
      <x:c r="F29" s="52"/>
      <x:c r="G29" s="52"/>
      <x:c r="H29" s="52"/>
    </x:row>
    <x:row r="30" ht="30" customHeight="1">
      <x:c r="A30" s="26" t="str">
        <x:v>Adjusted Weight</x:v>
      </x:c>
      <x:c r="B30" s="68" t="n">
        <x:v>0.3</x:v>
      </x:c>
      <x:c r="C30" s="26" t="str">
        <x:v>WI Reference</x:v>
      </x:c>
      <x:c r="D30" s="16" t="str">
        <x:v>WI-OPS-006
Bukti: PO/permintaan pembelian, checklist inbound, catatan supplier.</x:v>
      </x:c>
      <x:c r="E30" s="52"/>
      <x:c r="F30" s="52"/>
      <x:c r="G30" s="52"/>
      <x:c r="H30" s="52"/>
    </x:row>
    <x:row r="31" ht="36" customHeight="1">
      <x:c r="A31" s="26" t="str">
        <x:v>Objective</x:v>
      </x:c>
      <x:c r="B31" s="16" t="str">
        <x:v>Memastikan pembelian bahan sesuai spesifikasi, harga, kualitas, dan waktu kebutuhan produksi.</x:v>
      </x:c>
      <x:c r="C31" s="52"/>
      <x:c r="D31" s="52"/>
      <x:c r="E31" s="52"/>
      <x:c r="F31" s="52"/>
      <x:c r="G31" s="52"/>
      <x:c r="H31" s="52"/>
    </x:row>
    <x:row r="32" ht="32" customHeight="1">
      <x:c r="A32" s="26" t="str">
        <x:v>Target Baseline</x:v>
      </x:c>
      <x:c r="B32" s="16" t="str">
        <x:v>100% pemeriksaan inbound; 0 bahan tidak sesuai masuk produksi.</x:v>
      </x:c>
      <x:c r="C32" s="52"/>
      <x:c r="D32" s="52"/>
      <x:c r="E32" s="52"/>
      <x:c r="F32" s="52"/>
      <x:c r="G32" s="52"/>
      <x:c r="H32" s="52"/>
    </x:row>
    <x:row r="33">
      <x:c r="A33" s="52"/>
      <x:c r="B33" s="52"/>
      <x:c r="C33" s="52"/>
      <x:c r="D33" s="52"/>
      <x:c r="E33" s="52"/>
      <x:c r="F33" s="52"/>
      <x:c r="G33" s="52"/>
      <x:c r="H33" s="52"/>
    </x:row>
    <x:row r="34" ht="36" customHeight="1">
      <x:c r="A34" s="36" t="str">
        <x:v>No.</x:v>
      </x:c>
      <x:c r="B34" s="36" t="str">
        <x:v>KPI Detail / What to Check</x:v>
      </x:c>
      <x:c r="C34" s="36" t="str">
        <x:v>Actual Result</x:v>
      </x:c>
      <x:c r="D34" s="36" t="str">
        <x:v>Achievement %
(0–100)</x:v>
      </x:c>
      <x:c r="E34" s="36" t="str">
        <x:v>Evidence / Proof</x:v>
      </x:c>
      <x:c r="F34" s="36" t="str">
        <x:v>Status</x:v>
      </x:c>
      <x:c r="G34" s="36" t="str">
        <x:v>Issue / Root Cause</x:v>
      </x:c>
      <x:c r="H34" s="36" t="str">
        <x:v>Action / Follow-up</x:v>
      </x:c>
    </x:row>
    <x:row r="35" ht="52" customHeight="1">
      <x:c r="A35" s="16" t="n">
        <x:v>1</x:v>
      </x:c>
      <x:c r="B35" s="16" t="str">
        <x:v>100% pembelian menggunakan spesifikasi dan persetujuan yang jelas.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2</x:v>
      </x:c>
      <x:c r="B36" s="16" t="str">
        <x:v>100% bahan datang dicek jumlah dan kualitasnya sebelum masuk stok.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 ht="52" customHeight="1">
      <x:c r="A37" s="16" t="n">
        <x:v>3</x:v>
      </x:c>
      <x:c r="B37" s="16" t="str">
        <x:v>0 bahan tidak sesuai langsung masuk area produksi.</x:v>
      </x:c>
      <x:c r="C37" s="54" t="str"/>
      <x:c r="D37" s="54" t="str"/>
      <x:c r="E37" s="54" t="str"/>
      <x:c r="F37" s="46" t="str">
        <x:f>IF(D37="","",IF(D37&gt;=90,"On Track",IF(D37&gt;=80,"Good",IF(D37&gt;=70,"Need Improvement","Priority"))))</x:f>
      </x:c>
      <x:c r="G37" s="54" t="str"/>
      <x:c r="H37" s="54" t="str"/>
    </x:row>
    <x:row r="38">
      <x:c r="A38" s="26" t="str">
        <x:v>Card Score</x:v>
      </x:c>
      <x:c r="B38" s="46" t="str">
        <x:f>IF(COUNT(D35:D37)=0,"",AVERAGE(D35:D37))</x:f>
      </x:c>
      <x:c r="C38" s="26" t="str">
        <x:v>Weighted Score</x:v>
      </x:c>
      <x:c r="D38" s="46" t="str">
        <x:f>IF(B38="","",B38*$B$30)</x:f>
      </x:c>
      <x:c r="E38" s="26" t="str">
        <x:v>Card Status</x:v>
      </x:c>
      <x:c r="F38" s="46" t="str">
        <x:f>IF(COUNT(D35:D37)=0,"Waiting for Input",IF(B38&gt;=90,"On Track",IF(B38&gt;=80,"Good",IF(B38&gt;=70,"Need Improvement","Priority"))))</x:f>
        <x:v>Waiting for Input</x:v>
      </x:c>
      <x:c r="G38" s="52"/>
      <x:c r="H38" s="52"/>
    </x:row>
    <x:row r="39" ht="34" customHeight="1">
      <x:c r="A39" s="26" t="str">
        <x:v>Overall Root Cause / Key Finding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Action Plan, PIC &amp; Due Date</x:v>
      </x:c>
      <x:c r="B40" s="54" t="str"/>
      <x:c r="C40" s="52"/>
      <x:c r="D40" s="52"/>
      <x:c r="E40" s="52"/>
      <x:c r="F40" s="52"/>
      <x:c r="G40" s="52"/>
      <x:c r="H40" s="52"/>
    </x:row>
    <x:row r="41" ht="34" customHeight="1">
      <x:c r="A41" s="26" t="str">
        <x:v>Reviewer Note</x:v>
      </x:c>
      <x:c r="B41" s="54" t="str"/>
      <x:c r="C41" s="52"/>
      <x:c r="D41" s="52"/>
      <x:c r="E41" s="52"/>
      <x:c r="F41" s="52"/>
      <x:c r="G41" s="52"/>
      <x:c r="H41" s="52"/>
    </x:row>
    <x:row r="42">
      <x:c r="A42" s="52"/>
      <x:c r="B42" s="52"/>
      <x:c r="C42" s="52"/>
      <x:c r="D42" s="52"/>
      <x:c r="E42" s="52"/>
      <x:c r="F42" s="52"/>
      <x:c r="G42" s="52"/>
      <x:c r="H42" s="52"/>
    </x:row>
    <x:row r="43" ht="24" customHeight="1">
      <x:c r="A43" s="62" t="str">
        <x:v>RC-KPI-OPS-WHS-03 — Staging Barang Jadi &amp; Handover</x:v>
      </x:c>
      <x:c r="B43" s="52"/>
      <x:c r="C43" s="52"/>
      <x:c r="D43" s="52"/>
      <x:c r="E43" s="52"/>
      <x:c r="F43" s="52"/>
      <x:c r="G43" s="52"/>
      <x:c r="H43" s="52"/>
    </x:row>
    <x:row r="44" ht="24" customHeight="1">
      <x:c r="A44" s="26" t="str">
        <x:v>KPI / Phase</x:v>
      </x:c>
      <x:c r="B44" s="16" t="str">
        <x:v>Staging Barang Jadi &amp; Handover</x:v>
      </x:c>
      <x:c r="C44" s="52"/>
      <x:c r="D44" s="52"/>
      <x:c r="E44" s="52"/>
      <x:c r="F44" s="52"/>
      <x:c r="G44" s="52"/>
      <x:c r="H44" s="52"/>
    </x:row>
    <x:row r="45" ht="30" customHeight="1">
      <x:c r="A45" s="26" t="str">
        <x:v>Adjusted Weight</x:v>
      </x:c>
      <x:c r="B45" s="68" t="n">
        <x:v>0.2</x:v>
      </x:c>
      <x:c r="C45" s="26" t="str">
        <x:v>WI Reference</x:v>
      </x:c>
      <x:c r="D45" s="16" t="str">
        <x:v>WI-OPS-013
Bukti: staging log, label area, handover list.</x:v>
      </x:c>
      <x:c r="E45" s="52"/>
      <x:c r="F45" s="52"/>
      <x:c r="G45" s="52"/>
      <x:c r="H45" s="52"/>
    </x:row>
    <x:row r="46" ht="36" customHeight="1">
      <x:c r="A46" s="26" t="str">
        <x:v>Objective</x:v>
      </x:c>
      <x:c r="B46" s="16" t="str">
        <x:v>Menata barang Lolos QC secara aman dan mudah dilacak hingga diterima oleh Logistik.</x:v>
      </x:c>
      <x:c r="C46" s="52"/>
      <x:c r="D46" s="52"/>
      <x:c r="E46" s="52"/>
      <x:c r="F46" s="52"/>
      <x:c r="G46" s="52"/>
      <x:c r="H46" s="52"/>
    </x:row>
    <x:row r="47" ht="32" customHeight="1">
      <x:c r="A47" s="26" t="str">
        <x:v>Target Baseline</x:v>
      </x:c>
      <x:c r="B47" s="16" t="str">
        <x:v>100% staging berlabel; 0 barang tercampur; 100% handover tercatat.</x:v>
      </x:c>
      <x:c r="C47" s="52"/>
      <x:c r="D47" s="52"/>
      <x:c r="E47" s="52"/>
      <x:c r="F47" s="52"/>
      <x:c r="G47" s="52"/>
      <x:c r="H47" s="52"/>
    </x:row>
    <x:row r="48">
      <x:c r="A48" s="52"/>
      <x:c r="B48" s="52"/>
      <x:c r="C48" s="52"/>
      <x:c r="D48" s="52"/>
      <x:c r="E48" s="52"/>
      <x:c r="F48" s="52"/>
      <x:c r="G48" s="52"/>
      <x:c r="H48" s="52"/>
    </x:row>
    <x:row r="49" ht="36" customHeight="1">
      <x:c r="A49" s="36" t="str">
        <x:v>No.</x:v>
      </x:c>
      <x:c r="B49" s="36" t="str">
        <x:v>KPI Detail / What to Check</x:v>
      </x:c>
      <x:c r="C49" s="36" t="str">
        <x:v>Actual Result</x:v>
      </x:c>
      <x:c r="D49" s="36" t="str">
        <x:v>Achievement %
(0–100)</x:v>
      </x:c>
      <x:c r="E49" s="36" t="str">
        <x:v>Evidence / Proof</x:v>
      </x:c>
      <x:c r="F49" s="36" t="str">
        <x:v>Status</x:v>
      </x:c>
      <x:c r="G49" s="36" t="str">
        <x:v>Issue / Root Cause</x:v>
      </x:c>
      <x:c r="H49" s="36" t="str">
        <x:v>Action / Follow-up</x:v>
      </x:c>
    </x:row>
    <x:row r="50" ht="52" customHeight="1">
      <x:c r="A50" s="16" t="n">
        <x:v>1</x:v>
      </x:c>
      <x:c r="B50" s="16" t="str">
        <x:v>100% barang siap kirim memiliki label order/customer dan lokasi staging.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2</x:v>
      </x:c>
      <x:c r="B51" s="16" t="str">
        <x:v>0 barang siap kirim tercampur dengan WIP/reject.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 ht="52" customHeight="1">
      <x:c r="A52" s="16" t="n">
        <x:v>3</x:v>
      </x:c>
      <x:c r="B52" s="16" t="str">
        <x:v>100% handover ke Logistik tercatat.</x:v>
      </x:c>
      <x:c r="C52" s="54" t="str"/>
      <x:c r="D52" s="54" t="str"/>
      <x:c r="E52" s="54" t="str"/>
      <x:c r="F52" s="46" t="str">
        <x:f>IF(D52="","",IF(D52&gt;=90,"On Track",IF(D52&gt;=80,"Good",IF(D52&gt;=70,"Need Improvement","Priority"))))</x:f>
      </x:c>
      <x:c r="G52" s="54" t="str"/>
      <x:c r="H52" s="54" t="str"/>
    </x:row>
    <x:row r="53">
      <x:c r="A53" s="26" t="str">
        <x:v>Card Score</x:v>
      </x:c>
      <x:c r="B53" s="46" t="str">
        <x:f>IF(COUNT(D50:D52)=0,"",AVERAGE(D50:D52))</x:f>
      </x:c>
      <x:c r="C53" s="26" t="str">
        <x:v>Weighted Score</x:v>
      </x:c>
      <x:c r="D53" s="46" t="str">
        <x:f>IF(B53="","",B53*$B$45)</x:f>
      </x:c>
      <x:c r="E53" s="26" t="str">
        <x:v>Card Status</x:v>
      </x:c>
      <x:c r="F53" s="46" t="str">
        <x:f>IF(COUNT(D50:D52)=0,"Waiting for Input",IF(B53&gt;=90,"On Track",IF(B53&gt;=80,"Good",IF(B53&gt;=70,"Need Improvement","Priority"))))</x:f>
        <x:v>Waiting for Input</x:v>
      </x:c>
      <x:c r="G53" s="52"/>
      <x:c r="H53" s="52"/>
    </x:row>
    <x:row r="54" ht="34" customHeight="1">
      <x:c r="A54" s="26" t="str">
        <x:v>Overall Root Cause / Key Finding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Action Plan, PIC &amp; Due Date</x:v>
      </x:c>
      <x:c r="B55" s="54" t="str"/>
      <x:c r="C55" s="52"/>
      <x:c r="D55" s="52"/>
      <x:c r="E55" s="52"/>
      <x:c r="F55" s="52"/>
      <x:c r="G55" s="52"/>
      <x:c r="H55" s="52"/>
    </x:row>
    <x:row r="56" ht="34" customHeight="1">
      <x:c r="A56" s="26" t="str">
        <x:v>Reviewer Note</x:v>
      </x:c>
      <x:c r="B56" s="54" t="str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  <x:row r="58" ht="24" customHeight="1">
      <x:c r="A58" s="62" t="str">
        <x:v>RC-KPI-OPS-WHS-04 — Early Warning Stok Kritis</x:v>
      </x:c>
      <x:c r="B58" s="52"/>
      <x:c r="C58" s="52"/>
      <x:c r="D58" s="52"/>
      <x:c r="E58" s="52"/>
      <x:c r="F58" s="52"/>
      <x:c r="G58" s="52"/>
      <x:c r="H58" s="52"/>
    </x:row>
    <x:row r="59" ht="24" customHeight="1">
      <x:c r="A59" s="26" t="str">
        <x:v>KPI / Phase</x:v>
      </x:c>
      <x:c r="B59" s="16" t="str">
        <x:v>Early Warning Stok Kritis</x:v>
      </x:c>
      <x:c r="C59" s="52"/>
      <x:c r="D59" s="52"/>
      <x:c r="E59" s="52"/>
      <x:c r="F59" s="52"/>
      <x:c r="G59" s="52"/>
      <x:c r="H59" s="52"/>
    </x:row>
    <x:row r="60" ht="30" customHeight="1">
      <x:c r="A60" s="26" t="str">
        <x:v>Adjusted Weight</x:v>
      </x:c>
      <x:c r="B60" s="68" t="n">
        <x:v>0.1</x:v>
      </x:c>
      <x:c r="C60" s="26" t="str">
        <x:v>WI Reference</x:v>
      </x:c>
      <x:c r="D60" s="16" t="str">
        <x:v>WI-OPS-005, WI-OPS-006
Bukti: notifikasi reorder, daftar stok kritis.</x:v>
      </x:c>
      <x:c r="E60" s="52"/>
      <x:c r="F60" s="52"/>
      <x:c r="G60" s="52"/>
      <x:c r="H60" s="52"/>
    </x:row>
    <x:row r="61" ht="36" customHeight="1">
      <x:c r="A61" s="26" t="str">
        <x:v>Objective</x:v>
      </x:c>
      <x:c r="B61" s="16" t="str">
        <x:v>Memberi informasi cepat saat stok mencapai batas minimum atau ada risiko bahan tidak sesuai.</x:v>
      </x:c>
      <x:c r="C61" s="52"/>
      <x:c r="D61" s="52"/>
      <x:c r="E61" s="52"/>
      <x:c r="F61" s="52"/>
      <x:c r="G61" s="52"/>
      <x:c r="H61" s="52"/>
    </x:row>
    <x:row r="62" ht="32" customHeight="1">
      <x:c r="A62" s="26" t="str">
        <x:v>Target Baseline</x:v>
      </x:c>
      <x:c r="B62" s="16" t="str">
        <x:v>100% early warning same day; status bahan sesuai cut-off.</x:v>
      </x:c>
      <x:c r="C62" s="52"/>
      <x:c r="D62" s="52"/>
      <x:c r="E62" s="52"/>
      <x:c r="F62" s="52"/>
      <x:c r="G62" s="52"/>
      <x:c r="H62" s="52"/>
    </x:row>
    <x:row r="63">
      <x:c r="A63" s="52"/>
      <x:c r="B63" s="52"/>
      <x:c r="C63" s="52"/>
      <x:c r="D63" s="52"/>
      <x:c r="E63" s="52"/>
      <x:c r="F63" s="52"/>
      <x:c r="G63" s="52"/>
      <x:c r="H63" s="52"/>
    </x:row>
    <x:row r="64" ht="36" customHeight="1">
      <x:c r="A64" s="36" t="str">
        <x:v>No.</x:v>
      </x:c>
      <x:c r="B64" s="36" t="str">
        <x:v>KPI Detail / What to Check</x:v>
      </x:c>
      <x:c r="C64" s="36" t="str">
        <x:v>Actual Result</x:v>
      </x:c>
      <x:c r="D64" s="36" t="str">
        <x:v>Achievement %
(0–100)</x:v>
      </x:c>
      <x:c r="E64" s="36" t="str">
        <x:v>Evidence / Proof</x:v>
      </x:c>
      <x:c r="F64" s="36" t="str">
        <x:v>Status</x:v>
      </x:c>
      <x:c r="G64" s="36" t="str">
        <x:v>Issue / Root Cause</x:v>
      </x:c>
      <x:c r="H64" s="36" t="str">
        <x:v>Action / Follow-up</x:v>
      </x:c>
    </x:row>
    <x:row r="65" ht="52" customHeight="1">
      <x:c r="A65" s="16" t="n">
        <x:v>1</x:v>
      </x:c>
      <x:c r="B65" s="16" t="str">
        <x:v>100% stok di bawah reorder point dilaporkan pada hari yang sama.</x:v>
      </x:c>
      <x:c r="C65" s="54" t="str"/>
      <x:c r="D65" s="54" t="str"/>
      <x:c r="E65" s="54" t="str"/>
      <x:c r="F65" s="46" t="str">
        <x:f>IF(D65="","",IF(D65&gt;=90,"On Track",IF(D65&gt;=80,"Good",IF(D65&gt;=70,"Need Improvement","Priority"))))</x:f>
      </x:c>
      <x:c r="G65" s="54" t="str"/>
      <x:c r="H65" s="54" t="str"/>
    </x:row>
    <x:row r="66" ht="52" customHeight="1">
      <x:c r="A66" s="16" t="n">
        <x:v>2</x:v>
      </x:c>
      <x:c r="B66" s="16" t="str">
        <x:v>Status bahan untuk jadwal produksi berikutnya diperbarui sesuai cut-off.</x:v>
      </x:c>
      <x:c r="C66" s="54" t="str"/>
      <x:c r="D66" s="54" t="str"/>
      <x:c r="E66" s="54" t="str"/>
      <x:c r="F66" s="46" t="str">
        <x:f>IF(D66="","",IF(D66&gt;=90,"On Track",IF(D66&gt;=80,"Good",IF(D66&gt;=70,"Need Improvement","Priority"))))</x:f>
      </x:c>
      <x:c r="G66" s="54" t="str"/>
      <x:c r="H66" s="54" t="str"/>
    </x:row>
    <x:row r="67">
      <x:c r="A67" s="26" t="str">
        <x:v>Card Score</x:v>
      </x:c>
      <x:c r="B67" s="46" t="str">
        <x:f>IF(COUNT(D65:D66)=0,"",AVERAGE(D65:D66))</x:f>
      </x:c>
      <x:c r="C67" s="26" t="str">
        <x:v>Weighted Score</x:v>
      </x:c>
      <x:c r="D67" s="46" t="str">
        <x:f>IF(B67="","",B67*$B$60)</x:f>
      </x:c>
      <x:c r="E67" s="26" t="str">
        <x:v>Card Status</x:v>
      </x:c>
      <x:c r="F67" s="46" t="str">
        <x:f>IF(COUNT(D65:D66)=0,"Waiting for Input",IF(B67&gt;=90,"On Track",IF(B67&gt;=80,"Good",IF(B67&gt;=70,"Need Improvement","Priority"))))</x:f>
        <x:v>Waiting for Input</x:v>
      </x:c>
      <x:c r="G67" s="52"/>
      <x:c r="H67" s="52"/>
    </x:row>
    <x:row r="68" ht="34" customHeight="1">
      <x:c r="A68" s="26" t="str">
        <x:v>Overall Root Cause / Key Finding</x:v>
      </x:c>
      <x:c r="B68" s="54" t="str"/>
      <x:c r="C68" s="52"/>
      <x:c r="D68" s="52"/>
      <x:c r="E68" s="52"/>
      <x:c r="F68" s="52"/>
      <x:c r="G68" s="52"/>
      <x:c r="H68" s="52"/>
    </x:row>
    <x:row r="69" ht="34" customHeight="1">
      <x:c r="A69" s="26" t="str">
        <x:v>Action Plan, PIC &amp; Due Date</x:v>
      </x:c>
      <x:c r="B69" s="54" t="str"/>
      <x:c r="C69" s="52"/>
      <x:c r="D69" s="52"/>
      <x:c r="E69" s="52"/>
      <x:c r="F69" s="52"/>
      <x:c r="G69" s="52"/>
      <x:c r="H69" s="52"/>
    </x:row>
    <x:row r="70" ht="34" customHeight="1">
      <x:c r="A70" s="26" t="str">
        <x:v>Reviewer Note</x:v>
      </x:c>
      <x:c r="B70" s="54" t="str"/>
      <x:c r="C70" s="52"/>
      <x:c r="D70" s="52"/>
      <x:c r="E70" s="52"/>
      <x:c r="F70" s="52"/>
      <x:c r="G70" s="52"/>
      <x:c r="H70" s="52"/>
    </x:row>
    <x:row r="71">
      <x:c r="A71" s="52"/>
      <x:c r="B71" s="52"/>
      <x:c r="C71" s="52"/>
      <x:c r="D71" s="52"/>
      <x:c r="E71" s="52"/>
      <x:c r="F71" s="52"/>
      <x:c r="G71" s="52"/>
      <x:c r="H71" s="52"/>
    </x:row>
    <x:row r="72">
      <x:c r="A72" s="52"/>
      <x:c r="B72" s="52"/>
      <x:c r="C72" s="52"/>
      <x:c r="D72" s="52"/>
      <x:c r="E72" s="52"/>
      <x:c r="F72" s="52"/>
      <x:c r="G72" s="52"/>
      <x:c r="H72" s="52"/>
    </x:row>
  </x:sheetData>
  <x:mergeCells>
    <x:mergeCell ref="A1:H1"/>
    <x:mergeCell ref="A5:H5"/>
    <x:mergeCell ref="A13:H13"/>
    <x:mergeCell ref="B14:H14"/>
    <x:mergeCell ref="D15:H15"/>
    <x:mergeCell ref="B16:H16"/>
    <x:mergeCell ref="B17:H17"/>
    <x:mergeCell ref="F23:H23"/>
    <x:mergeCell ref="B24:H24"/>
    <x:mergeCell ref="B25:H25"/>
    <x:mergeCell ref="B26:H26"/>
    <x:mergeCell ref="A28:H28"/>
    <x:mergeCell ref="B29:H29"/>
    <x:mergeCell ref="D30:H30"/>
    <x:mergeCell ref="B31:H31"/>
    <x:mergeCell ref="B32:H32"/>
    <x:mergeCell ref="F38:H38"/>
    <x:mergeCell ref="B39:H39"/>
    <x:mergeCell ref="B40:H40"/>
    <x:mergeCell ref="B41:H41"/>
    <x:mergeCell ref="A43:H43"/>
    <x:mergeCell ref="B44:H44"/>
    <x:mergeCell ref="D45:H45"/>
    <x:mergeCell ref="B46:H46"/>
    <x:mergeCell ref="B47:H47"/>
    <x:mergeCell ref="F53:H53"/>
    <x:mergeCell ref="B54:H54"/>
    <x:mergeCell ref="B55:H55"/>
    <x:mergeCell ref="B56:H56"/>
    <x:mergeCell ref="A58:H58"/>
    <x:mergeCell ref="B59:H59"/>
    <x:mergeCell ref="D60:H60"/>
    <x:mergeCell ref="B61:H61"/>
    <x:mergeCell ref="B62:H62"/>
    <x:mergeCell ref="F67:H67"/>
    <x:mergeCell ref="B68:H68"/>
    <x:mergeCell ref="B69:H69"/>
    <x:mergeCell ref="B70:H70"/>
    <x:mergeCell ref="A11:B11"/>
    <x:mergeCell ref="G11:H11"/>
    <x:mergeCell ref="A12:H12"/>
  </x:mergeCells>
  <x:conditionalFormatting sqref="D20:D20">
    <x:cfRule type="cellIs" dxfId="96" priority="1" operator="greaterThanOrEqual">
      <x:formula>90</x:formula>
    </x:cfRule>
    <x:cfRule type="cellIs" dxfId="97" priority="2" operator="between">
      <x:formula>70</x:formula>
    </x:cfRule>
    <x:cfRule type="cellIs" dxfId="98" priority="3" operator="lessThan">
      <x:formula>70</x:formula>
    </x:cfRule>
  </x:conditionalFormatting>
  <x:conditionalFormatting sqref="D21:D21">
    <x:cfRule type="cellIs" dxfId="99" priority="4" operator="greaterThanOrEqual">
      <x:formula>90</x:formula>
    </x:cfRule>
    <x:cfRule type="cellIs" dxfId="100" priority="5" operator="between">
      <x:formula>70</x:formula>
    </x:cfRule>
    <x:cfRule type="cellIs" dxfId="101" priority="6" operator="lessThan">
      <x:formula>70</x:formula>
    </x:cfRule>
  </x:conditionalFormatting>
  <x:conditionalFormatting sqref="D22:D22">
    <x:cfRule type="cellIs" dxfId="102" priority="7" operator="greaterThanOrEqual">
      <x:formula>90</x:formula>
    </x:cfRule>
    <x:cfRule type="cellIs" dxfId="103" priority="8" operator="between">
      <x:formula>70</x:formula>
    </x:cfRule>
    <x:cfRule type="cellIs" dxfId="104" priority="9" operator="lessThan">
      <x:formula>70</x:formula>
    </x:cfRule>
  </x:conditionalFormatting>
  <x:conditionalFormatting sqref="D35:D35">
    <x:cfRule type="cellIs" dxfId="105" priority="10" operator="greaterThanOrEqual">
      <x:formula>90</x:formula>
    </x:cfRule>
    <x:cfRule type="cellIs" dxfId="106" priority="11" operator="between">
      <x:formula>70</x:formula>
    </x:cfRule>
    <x:cfRule type="cellIs" dxfId="107" priority="12" operator="lessThan">
      <x:formula>70</x:formula>
    </x:cfRule>
  </x:conditionalFormatting>
  <x:conditionalFormatting sqref="D36:D36">
    <x:cfRule type="cellIs" dxfId="108" priority="13" operator="greaterThanOrEqual">
      <x:formula>90</x:formula>
    </x:cfRule>
    <x:cfRule type="cellIs" dxfId="109" priority="14" operator="between">
      <x:formula>70</x:formula>
    </x:cfRule>
    <x:cfRule type="cellIs" dxfId="110" priority="15" operator="lessThan">
      <x:formula>70</x:formula>
    </x:cfRule>
  </x:conditionalFormatting>
  <x:conditionalFormatting sqref="D37:D37">
    <x:cfRule type="cellIs" dxfId="111" priority="16" operator="greaterThanOrEqual">
      <x:formula>90</x:formula>
    </x:cfRule>
    <x:cfRule type="cellIs" dxfId="112" priority="17" operator="between">
      <x:formula>70</x:formula>
    </x:cfRule>
    <x:cfRule type="cellIs" dxfId="113" priority="18" operator="lessThan">
      <x:formula>70</x:formula>
    </x:cfRule>
  </x:conditionalFormatting>
  <x:conditionalFormatting sqref="D50:D50">
    <x:cfRule type="cellIs" dxfId="114" priority="19" operator="greaterThanOrEqual">
      <x:formula>90</x:formula>
    </x:cfRule>
    <x:cfRule type="cellIs" dxfId="115" priority="20" operator="between">
      <x:formula>70</x:formula>
    </x:cfRule>
    <x:cfRule type="cellIs" dxfId="116" priority="21" operator="lessThan">
      <x:formula>70</x:formula>
    </x:cfRule>
  </x:conditionalFormatting>
  <x:conditionalFormatting sqref="D51:D51">
    <x:cfRule type="cellIs" dxfId="117" priority="22" operator="greaterThanOrEqual">
      <x:formula>90</x:formula>
    </x:cfRule>
    <x:cfRule type="cellIs" dxfId="118" priority="23" operator="between">
      <x:formula>70</x:formula>
    </x:cfRule>
    <x:cfRule type="cellIs" dxfId="119" priority="24" operator="lessThan">
      <x:formula>70</x:formula>
    </x:cfRule>
  </x:conditionalFormatting>
  <x:conditionalFormatting sqref="D52:D52">
    <x:cfRule type="cellIs" dxfId="120" priority="25" operator="greaterThanOrEqual">
      <x:formula>90</x:formula>
    </x:cfRule>
    <x:cfRule type="cellIs" dxfId="121" priority="26" operator="between">
      <x:formula>70</x:formula>
    </x:cfRule>
    <x:cfRule type="cellIs" dxfId="122" priority="27" operator="lessThan">
      <x:formula>70</x:formula>
    </x:cfRule>
  </x:conditionalFormatting>
  <x:conditionalFormatting sqref="D65:D65">
    <x:cfRule type="cellIs" dxfId="123" priority="28" operator="greaterThanOrEqual">
      <x:formula>90</x:formula>
    </x:cfRule>
    <x:cfRule type="cellIs" dxfId="124" priority="29" operator="between">
      <x:formula>70</x:formula>
    </x:cfRule>
    <x:cfRule type="cellIs" dxfId="125" priority="30" operator="lessThan">
      <x:formula>70</x:formula>
    </x:cfRule>
  </x:conditionalFormatting>
  <x:conditionalFormatting sqref="D66:D66">
    <x:cfRule type="cellIs" dxfId="126" priority="31" operator="greaterThanOrEqual">
      <x:formula>90</x:formula>
    </x:cfRule>
    <x:cfRule type="cellIs" dxfId="127" priority="32" operator="between">
      <x:formula>70</x:formula>
    </x:cfRule>
    <x:cfRule type="cellIs" dxfId="128" priority="33" operator="lessThan">
      <x:formula>70</x:formula>
    </x:cfRule>
  </x:conditionalFormatting>
  <x:dataValidations count="11"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22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37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  <x:dataValidation type="list" sqref="D52">
      <x:formula1>"0,5,10,15,20,25,30,35,40,45,50,55,60,65,70,75,80,85,90,95,100"</x:formula1>
    </x:dataValidation>
    <x:dataValidation type="list" sqref="D65">
      <x:formula1>"0,5,10,15,20,25,30,35,40,45,50,55,60,65,70,75,80,85,90,95,100"</x:formula1>
    </x:dataValidation>
    <x:dataValidation type="list" sqref="D66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STAFF LOGISTIK &amp; PENGEMASAN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Operations</x:v>
      </x:c>
      <x:c r="C2" s="26" t="str">
        <x:v>KPI Code</x:v>
      </x:c>
      <x:c r="D2" s="16" t="str">
        <x:v>KPI-OPS-LOG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Kepala Produksi</x:v>
      </x:c>
      <x:c r="C3" s="26" t="str">
        <x:v>Headcount Reference</x:v>
      </x:c>
      <x:c r="D3" s="16" t="str">
        <x:v>1</x:v>
      </x:c>
      <x:c r="E3" s="26" t="str">
        <x:v>Applicable KPI</x:v>
      </x:c>
      <x:c r="F3" s="16" t="n">
        <x:v>4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Akurasi &amp; Keamanan Packing</x:v>
      </x:c>
      <x:c r="C7" s="68" t="n">
        <x:v>0.4</x:v>
      </x:c>
      <x:c r="D7" s="46" t="n">
        <x:f>B23</x:f>
        <x:v>0</x:v>
      </x:c>
      <x:c r="E7" s="46" t="n">
        <x:f>D23</x:f>
        <x:v>0</x:v>
      </x:c>
      <x:c r="F7" s="46" t="str">
        <x:f>F23</x:f>
        <x:v>Waiting for Input</x:v>
      </x:c>
      <x:c r="G7" s="16" t="str">
        <x:v>WI-OPS-015
Bukti: packing checklist, foto paket, resi/surat jalan.</x:v>
      </x:c>
      <x:c r="H7" s="16" t="str">
        <x:v>RC-KPI-OPS-LOG-01</x:v>
      </x:c>
    </x:row>
    <x:row r="8" ht="36" customHeight="1">
      <x:c r="A8" s="16" t="n">
        <x:v>2</x:v>
      </x:c>
      <x:c r="B8" s="16" t="str">
        <x:v>Pickup &amp; Manifest Tepat Waktu</x:v>
      </x:c>
      <x:c r="C8" s="68" t="n">
        <x:v>0.25</x:v>
      </x:c>
      <x:c r="D8" s="46" t="n">
        <x:f>B38</x:f>
        <x:v>0</x:v>
      </x:c>
      <x:c r="E8" s="46" t="n">
        <x:f>D38</x:f>
        <x:v>0</x:v>
      </x:c>
      <x:c r="F8" s="46" t="str">
        <x:f>F38</x:f>
        <x:v>Waiting for Input</x:v>
      </x:c>
      <x:c r="G8" s="16" t="str">
        <x:v>WI-OPS-015
Bukti: booking pickup, manifest, laporan paket tertinggal.</x:v>
      </x:c>
      <x:c r="H8" s="16" t="str">
        <x:v>RC-KPI-OPS-LOG-02</x:v>
      </x:c>
    </x:row>
    <x:row r="9" ht="36" customHeight="1">
      <x:c r="A9" s="16" t="n">
        <x:v>3</x:v>
      </x:c>
      <x:c r="B9" s="16" t="str">
        <x:v>Delivery Tracking &amp; Penanganan Kendala</x:v>
      </x:c>
      <x:c r="C9" s="68" t="n">
        <x:v>0.25</x:v>
      </x:c>
      <x:c r="D9" s="46" t="n">
        <x:f>B53</x:f>
        <x:v>0</x:v>
      </x:c>
      <x:c r="E9" s="46" t="n">
        <x:f>D53</x:f>
        <x:v>0</x:v>
      </x:c>
      <x:c r="F9" s="46" t="str">
        <x:f>F53</x:f>
        <x:v>Waiting for Input</x:v>
      </x:c>
      <x:c r="G9" s="16" t="str">
        <x:v>WI-OPS-015
Bukti: tracker ekspedisi, tiket CS ekspedisi, log eskalasi.</x:v>
      </x:c>
      <x:c r="H9" s="16" t="str">
        <x:v>RC-KPI-OPS-LOG-03</x:v>
      </x:c>
    </x:row>
    <x:row r="10" ht="36" customHeight="1">
      <x:c r="A10" s="16" t="n">
        <x:v>4</x:v>
      </x:c>
      <x:c r="B10" s="16" t="str">
        <x:v>Dokumentasi Pengiriman</x:v>
      </x:c>
      <x:c r="C10" s="68" t="n">
        <x:v>0.1</x:v>
      </x:c>
      <x:c r="D10" s="46" t="n">
        <x:f>B67</x:f>
        <x:v>0</x:v>
      </x:c>
      <x:c r="E10" s="46" t="n">
        <x:f>D67</x:f>
        <x:v>0</x:v>
      </x:c>
      <x:c r="F10" s="46" t="str">
        <x:f>F67</x:f>
        <x:v>Waiting for Input</x:v>
      </x:c>
      <x:c r="G10" s="16" t="str">
        <x:v>WI-OPS-014, WI-OPS-015
Bukti: folder resi, manifest, tracker order.</x:v>
      </x:c>
      <x:c r="H10" s="16" t="str">
        <x:v>RC-KPI-OPS-LOG-04</x:v>
      </x:c>
    </x:row>
    <x:row r="11">
      <x:c r="A11" s="62" t="str">
        <x:v>Overall Role Score</x:v>
      </x:c>
      <x:c r="B11" s="52"/>
      <x:c r="C11" s="26" t="str">
        <x:v>Total Weight</x:v>
      </x:c>
      <x:c r="D11" s="68" t="n">
        <x:f>SUM(C7:C10)</x:f>
        <x:v>1</x:v>
      </x:c>
      <x:c r="E11" s="46" t="str">
        <x:f>IF(COUNT(D20:D22,D35:D37,D50:D52,D65:D66)=0,"",SUM(E7:E10))</x:f>
      </x:c>
      <x:c r="F11" s="26" t="str">
        <x:v>Overall Status</x:v>
      </x:c>
      <x:c r="G11" s="46" t="str">
        <x:f>IF(COUNT(D20:D22,D35:D37,D50:D52,D65:D66)=0,"Waiting for Input",IF(E11&gt;=90,"On Track",IF(E11&gt;=80,"Good",IF(E11&gt;=70,"Need Improvement","Priority"))))</x:f>
        <x:v>Waiting for Input</x:v>
      </x:c>
      <x:c r="H11" s="52"/>
    </x:row>
    <x:row r="12" ht="22" customHeight="1">
      <x:c r="A12" s="16" t="str">
        <x:v>Fill yellow cells only. Score output is calculated from the average Achievement % of KPI details in each card.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62" t="str">
        <x:v>RC-KPI-OPS-LOG-01 — Akurasi &amp; Keamanan Packing</x:v>
      </x:c>
      <x:c r="B13" s="52"/>
      <x:c r="C13" s="52"/>
      <x:c r="D13" s="52"/>
      <x:c r="E13" s="52"/>
      <x:c r="F13" s="52"/>
      <x:c r="G13" s="52"/>
      <x:c r="H13" s="52"/>
    </x:row>
    <x:row r="14" ht="24" customHeight="1">
      <x:c r="A14" s="26" t="str">
        <x:v>KPI / Phase</x:v>
      </x:c>
      <x:c r="B14" s="16" t="str">
        <x:v>Akurasi &amp; Keamanan Packing</x:v>
      </x:c>
      <x:c r="C14" s="52"/>
      <x:c r="D14" s="52"/>
      <x:c r="E14" s="52"/>
      <x:c r="F14" s="52"/>
      <x:c r="G14" s="52"/>
      <x:c r="H14" s="52"/>
    </x:row>
    <x:row r="15" ht="30" customHeight="1">
      <x:c r="A15" s="26" t="str">
        <x:v>Adjusted Weight</x:v>
      </x:c>
      <x:c r="B15" s="68" t="n">
        <x:v>0.4</x:v>
      </x:c>
      <x:c r="C15" s="26" t="str">
        <x:v>WI Reference</x:v>
      </x:c>
      <x:c r="D15" s="16" t="str">
        <x:v>WI-OPS-015
Bukti: packing checklist, foto paket, resi/surat jalan.</x:v>
      </x:c>
      <x:c r="E15" s="52"/>
      <x:c r="F15" s="52"/>
      <x:c r="G15" s="52"/>
      <x:c r="H15" s="52"/>
    </x:row>
    <x:row r="16" ht="36" customHeight="1">
      <x:c r="A16" s="26" t="str">
        <x:v>Objective</x:v>
      </x:c>
      <x:c r="B16" s="16" t="str">
        <x:v>Mengemas produk sesuai kebutuhan perlindungan dan memastikan isi paket sama dengan dokumen pengiriman.</x:v>
      </x:c>
      <x:c r="C16" s="52"/>
      <x:c r="D16" s="52"/>
      <x:c r="E16" s="52"/>
      <x:c r="F16" s="52"/>
      <x:c r="G16" s="52"/>
      <x:c r="H16" s="52"/>
    </x:row>
    <x:row r="17" ht="32" customHeight="1">
      <x:c r="A17" s="26" t="str">
        <x:v>Target Baseline</x:v>
      </x:c>
      <x:c r="B17" s="16" t="str">
        <x:v>100% verifikasi packing; 0 salah packing; 100% fragile terlindungi.</x:v>
      </x:c>
      <x:c r="C17" s="52"/>
      <x:c r="D17" s="52"/>
      <x:c r="E17" s="52"/>
      <x:c r="F17" s="52"/>
      <x:c r="G17" s="52"/>
      <x:c r="H17" s="52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 ht="36" customHeight="1">
      <x:c r="A19" s="36" t="str">
        <x:v>No.</x:v>
      </x:c>
      <x:c r="B19" s="36" t="str">
        <x:v>KPI Detail / What to Check</x:v>
      </x:c>
      <x:c r="C19" s="36" t="str">
        <x:v>Actual Result</x:v>
      </x:c>
      <x:c r="D19" s="36" t="str">
        <x:v>Achievement %
(0–100)</x:v>
      </x:c>
      <x:c r="E19" s="36" t="str">
        <x:v>Evidence / Proof</x:v>
      </x:c>
      <x:c r="F19" s="36" t="str">
        <x:v>Status</x:v>
      </x:c>
      <x:c r="G19" s="36" t="str">
        <x:v>Issue / Root Cause</x:v>
      </x:c>
      <x:c r="H19" s="36" t="str">
        <x:v>Action / Follow-up</x:v>
      </x:c>
    </x:row>
    <x:row r="20" ht="52" customHeight="1">
      <x:c r="A20" s="16" t="n">
        <x:v>1</x:v>
      </x:c>
      <x:c r="B20" s="16" t="str">
        <x:v>100% paket dicek terhadap resi/surat jalan/packing list.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2</x:v>
      </x:c>
      <x:c r="B21" s="16" t="str">
        <x:v>0 kesalahan jumlah atau identitas paket akibat proses packing.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 ht="52" customHeight="1">
      <x:c r="A22" s="16" t="n">
        <x:v>3</x:v>
      </x:c>
      <x:c r="B22" s="16" t="str">
        <x:v>100% produk fragile memakai perlindungan sesuai standar.</x:v>
      </x:c>
      <x:c r="C22" s="54" t="str"/>
      <x:c r="D22" s="54" t="str"/>
      <x:c r="E22" s="54" t="str"/>
      <x:c r="F22" s="46" t="str">
        <x:f>IF(D22="","",IF(D22&gt;=90,"On Track",IF(D22&gt;=80,"Good",IF(D22&gt;=70,"Need Improvement","Priority"))))</x:f>
      </x:c>
      <x:c r="G22" s="54" t="str"/>
      <x:c r="H22" s="54" t="str"/>
    </x:row>
    <x:row r="23">
      <x:c r="A23" s="26" t="str">
        <x:v>Card Score</x:v>
      </x:c>
      <x:c r="B23" s="46" t="str">
        <x:f>IF(COUNT(D20:D22)=0,"",AVERAGE(D20:D22))</x:f>
      </x:c>
      <x:c r="C23" s="26" t="str">
        <x:v>Weighted Score</x:v>
      </x:c>
      <x:c r="D23" s="46" t="str">
        <x:f>IF(B23="","",B23*$B$15)</x:f>
      </x:c>
      <x:c r="E23" s="26" t="str">
        <x:v>Card Status</x:v>
      </x:c>
      <x:c r="F23" s="46" t="str">
        <x:f>IF(COUNT(D20:D22)=0,"Waiting for Input",IF(B23&gt;=90,"On Track",IF(B23&gt;=80,"Good",IF(B23&gt;=70,"Need Improvement","Priority"))))</x:f>
        <x:v>Waiting for Input</x:v>
      </x:c>
      <x:c r="G23" s="52"/>
      <x:c r="H23" s="52"/>
    </x:row>
    <x:row r="24" ht="34" customHeight="1">
      <x:c r="A24" s="26" t="str">
        <x:v>Overall Root Cause / Key Finding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Action Plan, PIC &amp; Due Date</x:v>
      </x:c>
      <x:c r="B25" s="54" t="str"/>
      <x:c r="C25" s="52"/>
      <x:c r="D25" s="52"/>
      <x:c r="E25" s="52"/>
      <x:c r="F25" s="52"/>
      <x:c r="G25" s="52"/>
      <x:c r="H25" s="52"/>
    </x:row>
    <x:row r="26" ht="34" customHeight="1">
      <x:c r="A26" s="26" t="str">
        <x:v>Reviewer Note</x:v>
      </x:c>
      <x:c r="B26" s="54" t="str"/>
      <x:c r="C26" s="52"/>
      <x:c r="D26" s="52"/>
      <x:c r="E26" s="52"/>
      <x:c r="F26" s="52"/>
      <x:c r="G26" s="52"/>
      <x:c r="H26" s="52"/>
    </x:row>
    <x:row r="27">
      <x:c r="A27" s="52"/>
      <x:c r="B27" s="52"/>
      <x:c r="C27" s="52"/>
      <x:c r="D27" s="52"/>
      <x:c r="E27" s="52"/>
      <x:c r="F27" s="52"/>
      <x:c r="G27" s="52"/>
      <x:c r="H27" s="52"/>
    </x:row>
    <x:row r="28" ht="24" customHeight="1">
      <x:c r="A28" s="62" t="str">
        <x:v>RC-KPI-OPS-LOG-02 — Pickup &amp; Manifest Tepat Waktu</x:v>
      </x:c>
      <x:c r="B28" s="52"/>
      <x:c r="C28" s="52"/>
      <x:c r="D28" s="52"/>
      <x:c r="E28" s="52"/>
      <x:c r="F28" s="52"/>
      <x:c r="G28" s="52"/>
      <x:c r="H28" s="52"/>
    </x:row>
    <x:row r="29" ht="24" customHeight="1">
      <x:c r="A29" s="26" t="str">
        <x:v>KPI / Phase</x:v>
      </x:c>
      <x:c r="B29" s="16" t="str">
        <x:v>Pickup &amp; Manifest Tepat Waktu</x:v>
      </x:c>
      <x:c r="C29" s="52"/>
      <x:c r="D29" s="52"/>
      <x:c r="E29" s="52"/>
      <x:c r="F29" s="52"/>
      <x:c r="G29" s="52"/>
      <x:c r="H29" s="52"/>
    </x:row>
    <x:row r="30" ht="30" customHeight="1">
      <x:c r="A30" s="26" t="str">
        <x:v>Adjusted Weight</x:v>
      </x:c>
      <x:c r="B30" s="68" t="n">
        <x:v>0.25</x:v>
      </x:c>
      <x:c r="C30" s="26" t="str">
        <x:v>WI Reference</x:v>
      </x:c>
      <x:c r="D30" s="16" t="str">
        <x:v>WI-OPS-015
Bukti: booking pickup, manifest, laporan paket tertinggal.</x:v>
      </x:c>
      <x:c r="E30" s="52"/>
      <x:c r="F30" s="52"/>
      <x:c r="G30" s="52"/>
      <x:c r="H30" s="52"/>
    </x:row>
    <x:row r="31" ht="36" customHeight="1">
      <x:c r="A31" s="26" t="str">
        <x:v>Objective</x:v>
      </x:c>
      <x:c r="B31" s="16" t="str">
        <x:v>Menjamin paket yang siap kirim masuk pickup sesuai cut-off dan bukti serah terima tersimpan.</x:v>
      </x:c>
      <x:c r="C31" s="52"/>
      <x:c r="D31" s="52"/>
      <x:c r="E31" s="52"/>
      <x:c r="F31" s="52"/>
      <x:c r="G31" s="52"/>
      <x:c r="H31" s="52"/>
    </x:row>
    <x:row r="32" ht="32" customHeight="1">
      <x:c r="A32" s="26" t="str">
        <x:v>Target Baseline</x:v>
      </x:c>
      <x:c r="B32" s="16" t="str">
        <x:v>100% pickup tepat cut-off; 100% bukti manifest tersimpan.</x:v>
      </x:c>
      <x:c r="C32" s="52"/>
      <x:c r="D32" s="52"/>
      <x:c r="E32" s="52"/>
      <x:c r="F32" s="52"/>
      <x:c r="G32" s="52"/>
      <x:c r="H32" s="52"/>
    </x:row>
    <x:row r="33">
      <x:c r="A33" s="52"/>
      <x:c r="B33" s="52"/>
      <x:c r="C33" s="52"/>
      <x:c r="D33" s="52"/>
      <x:c r="E33" s="52"/>
      <x:c r="F33" s="52"/>
      <x:c r="G33" s="52"/>
      <x:c r="H33" s="52"/>
    </x:row>
    <x:row r="34" ht="36" customHeight="1">
      <x:c r="A34" s="36" t="str">
        <x:v>No.</x:v>
      </x:c>
      <x:c r="B34" s="36" t="str">
        <x:v>KPI Detail / What to Check</x:v>
      </x:c>
      <x:c r="C34" s="36" t="str">
        <x:v>Actual Result</x:v>
      </x:c>
      <x:c r="D34" s="36" t="str">
        <x:v>Achievement %
(0–100)</x:v>
      </x:c>
      <x:c r="E34" s="36" t="str">
        <x:v>Evidence / Proof</x:v>
      </x:c>
      <x:c r="F34" s="36" t="str">
        <x:v>Status</x:v>
      </x:c>
      <x:c r="G34" s="36" t="str">
        <x:v>Issue / Root Cause</x:v>
      </x:c>
      <x:c r="H34" s="36" t="str">
        <x:v>Action / Follow-up</x:v>
      </x:c>
    </x:row>
    <x:row r="35" ht="52" customHeight="1">
      <x:c r="A35" s="16" t="n">
        <x:v>1</x:v>
      </x:c>
      <x:c r="B35" s="16" t="str">
        <x:v>100% paket siap kirim dibooking/diantar sesuai cut-off.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2</x:v>
      </x:c>
      <x:c r="B36" s="16" t="str">
        <x:v>100% pickup memiliki manifest/bukti scan.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 ht="52" customHeight="1">
      <x:c r="A37" s="16" t="n">
        <x:v>3</x:v>
      </x:c>
      <x:c r="B37" s="16" t="str">
        <x:v>0 paket tertinggal tanpa alasan dan eskalasi.</x:v>
      </x:c>
      <x:c r="C37" s="54" t="str"/>
      <x:c r="D37" s="54" t="str"/>
      <x:c r="E37" s="54" t="str"/>
      <x:c r="F37" s="46" t="str">
        <x:f>IF(D37="","",IF(D37&gt;=90,"On Track",IF(D37&gt;=80,"Good",IF(D37&gt;=70,"Need Improvement","Priority"))))</x:f>
      </x:c>
      <x:c r="G37" s="54" t="str"/>
      <x:c r="H37" s="54" t="str"/>
    </x:row>
    <x:row r="38">
      <x:c r="A38" s="26" t="str">
        <x:v>Card Score</x:v>
      </x:c>
      <x:c r="B38" s="46" t="str">
        <x:f>IF(COUNT(D35:D37)=0,"",AVERAGE(D35:D37))</x:f>
      </x:c>
      <x:c r="C38" s="26" t="str">
        <x:v>Weighted Score</x:v>
      </x:c>
      <x:c r="D38" s="46" t="str">
        <x:f>IF(B38="","",B38*$B$30)</x:f>
      </x:c>
      <x:c r="E38" s="26" t="str">
        <x:v>Card Status</x:v>
      </x:c>
      <x:c r="F38" s="46" t="str">
        <x:f>IF(COUNT(D35:D37)=0,"Waiting for Input",IF(B38&gt;=90,"On Track",IF(B38&gt;=80,"Good",IF(B38&gt;=70,"Need Improvement","Priority"))))</x:f>
        <x:v>Waiting for Input</x:v>
      </x:c>
      <x:c r="G38" s="52"/>
      <x:c r="H38" s="52"/>
    </x:row>
    <x:row r="39" ht="34" customHeight="1">
      <x:c r="A39" s="26" t="str">
        <x:v>Overall Root Cause / Key Finding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Action Plan, PIC &amp; Due Date</x:v>
      </x:c>
      <x:c r="B40" s="54" t="str"/>
      <x:c r="C40" s="52"/>
      <x:c r="D40" s="52"/>
      <x:c r="E40" s="52"/>
      <x:c r="F40" s="52"/>
      <x:c r="G40" s="52"/>
      <x:c r="H40" s="52"/>
    </x:row>
    <x:row r="41" ht="34" customHeight="1">
      <x:c r="A41" s="26" t="str">
        <x:v>Reviewer Note</x:v>
      </x:c>
      <x:c r="B41" s="54" t="str"/>
      <x:c r="C41" s="52"/>
      <x:c r="D41" s="52"/>
      <x:c r="E41" s="52"/>
      <x:c r="F41" s="52"/>
      <x:c r="G41" s="52"/>
      <x:c r="H41" s="52"/>
    </x:row>
    <x:row r="42">
      <x:c r="A42" s="52"/>
      <x:c r="B42" s="52"/>
      <x:c r="C42" s="52"/>
      <x:c r="D42" s="52"/>
      <x:c r="E42" s="52"/>
      <x:c r="F42" s="52"/>
      <x:c r="G42" s="52"/>
      <x:c r="H42" s="52"/>
    </x:row>
    <x:row r="43" ht="24" customHeight="1">
      <x:c r="A43" s="62" t="str">
        <x:v>RC-KPI-OPS-LOG-03 — Delivery Tracking &amp; Penanganan Kendala</x:v>
      </x:c>
      <x:c r="B43" s="52"/>
      <x:c r="C43" s="52"/>
      <x:c r="D43" s="52"/>
      <x:c r="E43" s="52"/>
      <x:c r="F43" s="52"/>
      <x:c r="G43" s="52"/>
      <x:c r="H43" s="52"/>
    </x:row>
    <x:row r="44" ht="24" customHeight="1">
      <x:c r="A44" s="26" t="str">
        <x:v>KPI / Phase</x:v>
      </x:c>
      <x:c r="B44" s="16" t="str">
        <x:v>Delivery Tracking &amp; Penanganan Kendala</x:v>
      </x:c>
      <x:c r="C44" s="52"/>
      <x:c r="D44" s="52"/>
      <x:c r="E44" s="52"/>
      <x:c r="F44" s="52"/>
      <x:c r="G44" s="52"/>
      <x:c r="H44" s="52"/>
    </x:row>
    <x:row r="45" ht="30" customHeight="1">
      <x:c r="A45" s="26" t="str">
        <x:v>Adjusted Weight</x:v>
      </x:c>
      <x:c r="B45" s="68" t="n">
        <x:v>0.25</x:v>
      </x:c>
      <x:c r="C45" s="26" t="str">
        <x:v>WI Reference</x:v>
      </x:c>
      <x:c r="D45" s="16" t="str">
        <x:v>WI-OPS-015
Bukti: tracker ekspedisi, tiket CS ekspedisi, log eskalasi.</x:v>
      </x:c>
      <x:c r="E45" s="52"/>
      <x:c r="F45" s="52"/>
      <x:c r="G45" s="52"/>
      <x:c r="H45" s="52"/>
    </x:row>
    <x:row r="46" ht="36" customHeight="1">
      <x:c r="A46" s="26" t="str">
        <x:v>Objective</x:v>
      </x:c>
      <x:c r="B46" s="16" t="str">
        <x:v>Memantau paket hingga delivered dan mempercepat penanganan jika status tidak bergerak atau terjadi masalah.</x:v>
      </x:c>
      <x:c r="C46" s="52"/>
      <x:c r="D46" s="52"/>
      <x:c r="E46" s="52"/>
      <x:c r="F46" s="52"/>
      <x:c r="G46" s="52"/>
      <x:c r="H46" s="52"/>
    </x:row>
    <x:row r="47" ht="32" customHeight="1">
      <x:c r="A47" s="26" t="str">
        <x:v>Target Baseline</x:v>
      </x:c>
      <x:c r="B47" s="16" t="str">
        <x:v>100% tracking 2x/hari; 100% exception same day.</x:v>
      </x:c>
      <x:c r="C47" s="52"/>
      <x:c r="D47" s="52"/>
      <x:c r="E47" s="52"/>
      <x:c r="F47" s="52"/>
      <x:c r="G47" s="52"/>
      <x:c r="H47" s="52"/>
    </x:row>
    <x:row r="48">
      <x:c r="A48" s="52"/>
      <x:c r="B48" s="52"/>
      <x:c r="C48" s="52"/>
      <x:c r="D48" s="52"/>
      <x:c r="E48" s="52"/>
      <x:c r="F48" s="52"/>
      <x:c r="G48" s="52"/>
      <x:c r="H48" s="52"/>
    </x:row>
    <x:row r="49" ht="36" customHeight="1">
      <x:c r="A49" s="36" t="str">
        <x:v>No.</x:v>
      </x:c>
      <x:c r="B49" s="36" t="str">
        <x:v>KPI Detail / What to Check</x:v>
      </x:c>
      <x:c r="C49" s="36" t="str">
        <x:v>Actual Result</x:v>
      </x:c>
      <x:c r="D49" s="36" t="str">
        <x:v>Achievement %
(0–100)</x:v>
      </x:c>
      <x:c r="E49" s="36" t="str">
        <x:v>Evidence / Proof</x:v>
      </x:c>
      <x:c r="F49" s="36" t="str">
        <x:v>Status</x:v>
      </x:c>
      <x:c r="G49" s="36" t="str">
        <x:v>Issue / Root Cause</x:v>
      </x:c>
      <x:c r="H49" s="36" t="str">
        <x:v>Action / Follow-up</x:v>
      </x:c>
    </x:row>
    <x:row r="50" ht="52" customHeight="1">
      <x:c r="A50" s="16" t="n">
        <x:v>1</x:v>
      </x:c>
      <x:c r="B50" s="16" t="str">
        <x:v>100% paket aktif dipantau minimal 2x/hari sampai delivered.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2</x:v>
      </x:c>
      <x:c r="B51" s="16" t="str">
        <x:v>100% exception pengiriman dieskalasi pada hari ditemukan.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 ht="52" customHeight="1">
      <x:c r="A52" s="16" t="n">
        <x:v>3</x:v>
      </x:c>
      <x:c r="B52" s="16" t="str">
        <x:v>Status delivered diperbarui pada sistem/order tracker.</x:v>
      </x:c>
      <x:c r="C52" s="54" t="str"/>
      <x:c r="D52" s="54" t="str"/>
      <x:c r="E52" s="54" t="str"/>
      <x:c r="F52" s="46" t="str">
        <x:f>IF(D52="","",IF(D52&gt;=90,"On Track",IF(D52&gt;=80,"Good",IF(D52&gt;=70,"Need Improvement","Priority"))))</x:f>
      </x:c>
      <x:c r="G52" s="54" t="str"/>
      <x:c r="H52" s="54" t="str"/>
    </x:row>
    <x:row r="53">
      <x:c r="A53" s="26" t="str">
        <x:v>Card Score</x:v>
      </x:c>
      <x:c r="B53" s="46" t="str">
        <x:f>IF(COUNT(D50:D52)=0,"",AVERAGE(D50:D52))</x:f>
      </x:c>
      <x:c r="C53" s="26" t="str">
        <x:v>Weighted Score</x:v>
      </x:c>
      <x:c r="D53" s="46" t="str">
        <x:f>IF(B53="","",B53*$B$45)</x:f>
      </x:c>
      <x:c r="E53" s="26" t="str">
        <x:v>Card Status</x:v>
      </x:c>
      <x:c r="F53" s="46" t="str">
        <x:f>IF(COUNT(D50:D52)=0,"Waiting for Input",IF(B53&gt;=90,"On Track",IF(B53&gt;=80,"Good",IF(B53&gt;=70,"Need Improvement","Priority"))))</x:f>
        <x:v>Waiting for Input</x:v>
      </x:c>
      <x:c r="G53" s="52"/>
      <x:c r="H53" s="52"/>
    </x:row>
    <x:row r="54" ht="34" customHeight="1">
      <x:c r="A54" s="26" t="str">
        <x:v>Overall Root Cause / Key Finding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Action Plan, PIC &amp; Due Date</x:v>
      </x:c>
      <x:c r="B55" s="54" t="str"/>
      <x:c r="C55" s="52"/>
      <x:c r="D55" s="52"/>
      <x:c r="E55" s="52"/>
      <x:c r="F55" s="52"/>
      <x:c r="G55" s="52"/>
      <x:c r="H55" s="52"/>
    </x:row>
    <x:row r="56" ht="34" customHeight="1">
      <x:c r="A56" s="26" t="str">
        <x:v>Reviewer Note</x:v>
      </x:c>
      <x:c r="B56" s="54" t="str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  <x:row r="58" ht="24" customHeight="1">
      <x:c r="A58" s="62" t="str">
        <x:v>RC-KPI-OPS-LOG-04 — Dokumentasi Pengiriman</x:v>
      </x:c>
      <x:c r="B58" s="52"/>
      <x:c r="C58" s="52"/>
      <x:c r="D58" s="52"/>
      <x:c r="E58" s="52"/>
      <x:c r="F58" s="52"/>
      <x:c r="G58" s="52"/>
      <x:c r="H58" s="52"/>
    </x:row>
    <x:row r="59" ht="24" customHeight="1">
      <x:c r="A59" s="26" t="str">
        <x:v>KPI / Phase</x:v>
      </x:c>
      <x:c r="B59" s="16" t="str">
        <x:v>Dokumentasi Pengiriman</x:v>
      </x:c>
      <x:c r="C59" s="52"/>
      <x:c r="D59" s="52"/>
      <x:c r="E59" s="52"/>
      <x:c r="F59" s="52"/>
      <x:c r="G59" s="52"/>
      <x:c r="H59" s="52"/>
    </x:row>
    <x:row r="60" ht="30" customHeight="1">
      <x:c r="A60" s="26" t="str">
        <x:v>Adjusted Weight</x:v>
      </x:c>
      <x:c r="B60" s="68" t="n">
        <x:v>0.1</x:v>
      </x:c>
      <x:c r="C60" s="26" t="str">
        <x:v>WI Reference</x:v>
      </x:c>
      <x:c r="D60" s="16" t="str">
        <x:v>WI-OPS-014, WI-OPS-015
Bukti: folder resi, manifest, tracker order.</x:v>
      </x:c>
      <x:c r="E60" s="52"/>
      <x:c r="F60" s="52"/>
      <x:c r="G60" s="52"/>
      <x:c r="H60" s="52"/>
    </x:row>
    <x:row r="61" ht="36" customHeight="1">
      <x:c r="A61" s="26" t="str">
        <x:v>Objective</x:v>
      </x:c>
      <x:c r="B61" s="16" t="str">
        <x:v>Menjaga arsip resi, manifest, dan bukti pickup lengkap agar setiap paket dapat ditelusuri.</x:v>
      </x:c>
      <x:c r="C61" s="52"/>
      <x:c r="D61" s="52"/>
      <x:c r="E61" s="52"/>
      <x:c r="F61" s="52"/>
      <x:c r="G61" s="52"/>
      <x:c r="H61" s="52"/>
    </x:row>
    <x:row r="62" ht="32" customHeight="1">
      <x:c r="A62" s="26" t="str">
        <x:v>Target Baseline</x:v>
      </x:c>
      <x:c r="B62" s="16" t="str">
        <x:v>100% arsip same day; 0 dokumen tidak ditemukan.</x:v>
      </x:c>
      <x:c r="C62" s="52"/>
      <x:c r="D62" s="52"/>
      <x:c r="E62" s="52"/>
      <x:c r="F62" s="52"/>
      <x:c r="G62" s="52"/>
      <x:c r="H62" s="52"/>
    </x:row>
    <x:row r="63">
      <x:c r="A63" s="52"/>
      <x:c r="B63" s="52"/>
      <x:c r="C63" s="52"/>
      <x:c r="D63" s="52"/>
      <x:c r="E63" s="52"/>
      <x:c r="F63" s="52"/>
      <x:c r="G63" s="52"/>
      <x:c r="H63" s="52"/>
    </x:row>
    <x:row r="64" ht="36" customHeight="1">
      <x:c r="A64" s="36" t="str">
        <x:v>No.</x:v>
      </x:c>
      <x:c r="B64" s="36" t="str">
        <x:v>KPI Detail / What to Check</x:v>
      </x:c>
      <x:c r="C64" s="36" t="str">
        <x:v>Actual Result</x:v>
      </x:c>
      <x:c r="D64" s="36" t="str">
        <x:v>Achievement %
(0–100)</x:v>
      </x:c>
      <x:c r="E64" s="36" t="str">
        <x:v>Evidence / Proof</x:v>
      </x:c>
      <x:c r="F64" s="36" t="str">
        <x:v>Status</x:v>
      </x:c>
      <x:c r="G64" s="36" t="str">
        <x:v>Issue / Root Cause</x:v>
      </x:c>
      <x:c r="H64" s="36" t="str">
        <x:v>Action / Follow-up</x:v>
      </x:c>
    </x:row>
    <x:row r="65" ht="52" customHeight="1">
      <x:c r="A65" s="16" t="n">
        <x:v>1</x:v>
      </x:c>
      <x:c r="B65" s="16" t="str">
        <x:v>100% dokumen pengiriman disimpan pada hari yang sama.</x:v>
      </x:c>
      <x:c r="C65" s="54" t="str"/>
      <x:c r="D65" s="54" t="str"/>
      <x:c r="E65" s="54" t="str"/>
      <x:c r="F65" s="46" t="str">
        <x:f>IF(D65="","",IF(D65&gt;=90,"On Track",IF(D65&gt;=80,"Good",IF(D65&gt;=70,"Need Improvement","Priority"))))</x:f>
      </x:c>
      <x:c r="G65" s="54" t="str"/>
      <x:c r="H65" s="54" t="str"/>
    </x:row>
    <x:row r="66" ht="52" customHeight="1">
      <x:c r="A66" s="16" t="n">
        <x:v>2</x:v>
      </x:c>
      <x:c r="B66" s="16" t="str">
        <x:v>0 dokumen hilang saat diperlukan untuk penelusuran komplain.</x:v>
      </x:c>
      <x:c r="C66" s="54" t="str"/>
      <x:c r="D66" s="54" t="str"/>
      <x:c r="E66" s="54" t="str"/>
      <x:c r="F66" s="46" t="str">
        <x:f>IF(D66="","",IF(D66&gt;=90,"On Track",IF(D66&gt;=80,"Good",IF(D66&gt;=70,"Need Improvement","Priority"))))</x:f>
      </x:c>
      <x:c r="G66" s="54" t="str"/>
      <x:c r="H66" s="54" t="str"/>
    </x:row>
    <x:row r="67">
      <x:c r="A67" s="26" t="str">
        <x:v>Card Score</x:v>
      </x:c>
      <x:c r="B67" s="46" t="str">
        <x:f>IF(COUNT(D65:D66)=0,"",AVERAGE(D65:D66))</x:f>
      </x:c>
      <x:c r="C67" s="26" t="str">
        <x:v>Weighted Score</x:v>
      </x:c>
      <x:c r="D67" s="46" t="str">
        <x:f>IF(B67="","",B67*$B$60)</x:f>
      </x:c>
      <x:c r="E67" s="26" t="str">
        <x:v>Card Status</x:v>
      </x:c>
      <x:c r="F67" s="46" t="str">
        <x:f>IF(COUNT(D65:D66)=0,"Waiting for Input",IF(B67&gt;=90,"On Track",IF(B67&gt;=80,"Good",IF(B67&gt;=70,"Need Improvement","Priority"))))</x:f>
        <x:v>Waiting for Input</x:v>
      </x:c>
      <x:c r="G67" s="52"/>
      <x:c r="H67" s="52"/>
    </x:row>
    <x:row r="68" ht="34" customHeight="1">
      <x:c r="A68" s="26" t="str">
        <x:v>Overall Root Cause / Key Finding</x:v>
      </x:c>
      <x:c r="B68" s="54" t="str"/>
      <x:c r="C68" s="52"/>
      <x:c r="D68" s="52"/>
      <x:c r="E68" s="52"/>
      <x:c r="F68" s="52"/>
      <x:c r="G68" s="52"/>
      <x:c r="H68" s="52"/>
    </x:row>
    <x:row r="69" ht="34" customHeight="1">
      <x:c r="A69" s="26" t="str">
        <x:v>Action Plan, PIC &amp; Due Date</x:v>
      </x:c>
      <x:c r="B69" s="54" t="str"/>
      <x:c r="C69" s="52"/>
      <x:c r="D69" s="52"/>
      <x:c r="E69" s="52"/>
      <x:c r="F69" s="52"/>
      <x:c r="G69" s="52"/>
      <x:c r="H69" s="52"/>
    </x:row>
    <x:row r="70" ht="34" customHeight="1">
      <x:c r="A70" s="26" t="str">
        <x:v>Reviewer Note</x:v>
      </x:c>
      <x:c r="B70" s="54" t="str"/>
      <x:c r="C70" s="52"/>
      <x:c r="D70" s="52"/>
      <x:c r="E70" s="52"/>
      <x:c r="F70" s="52"/>
      <x:c r="G70" s="52"/>
      <x:c r="H70" s="52"/>
    </x:row>
    <x:row r="71">
      <x:c r="A71" s="52"/>
      <x:c r="B71" s="52"/>
      <x:c r="C71" s="52"/>
      <x:c r="D71" s="52"/>
      <x:c r="E71" s="52"/>
      <x:c r="F71" s="52"/>
      <x:c r="G71" s="52"/>
      <x:c r="H71" s="52"/>
    </x:row>
    <x:row r="72">
      <x:c r="A72" s="52"/>
      <x:c r="B72" s="52"/>
      <x:c r="C72" s="52"/>
      <x:c r="D72" s="52"/>
      <x:c r="E72" s="52"/>
      <x:c r="F72" s="52"/>
      <x:c r="G72" s="52"/>
      <x:c r="H72" s="52"/>
    </x:row>
  </x:sheetData>
  <x:mergeCells>
    <x:mergeCell ref="A1:H1"/>
    <x:mergeCell ref="A5:H5"/>
    <x:mergeCell ref="A13:H13"/>
    <x:mergeCell ref="B14:H14"/>
    <x:mergeCell ref="D15:H15"/>
    <x:mergeCell ref="B16:H16"/>
    <x:mergeCell ref="B17:H17"/>
    <x:mergeCell ref="F23:H23"/>
    <x:mergeCell ref="B24:H24"/>
    <x:mergeCell ref="B25:H25"/>
    <x:mergeCell ref="B26:H26"/>
    <x:mergeCell ref="A28:H28"/>
    <x:mergeCell ref="B29:H29"/>
    <x:mergeCell ref="D30:H30"/>
    <x:mergeCell ref="B31:H31"/>
    <x:mergeCell ref="B32:H32"/>
    <x:mergeCell ref="F38:H38"/>
    <x:mergeCell ref="B39:H39"/>
    <x:mergeCell ref="B40:H40"/>
    <x:mergeCell ref="B41:H41"/>
    <x:mergeCell ref="A43:H43"/>
    <x:mergeCell ref="B44:H44"/>
    <x:mergeCell ref="D45:H45"/>
    <x:mergeCell ref="B46:H46"/>
    <x:mergeCell ref="B47:H47"/>
    <x:mergeCell ref="F53:H53"/>
    <x:mergeCell ref="B54:H54"/>
    <x:mergeCell ref="B55:H55"/>
    <x:mergeCell ref="B56:H56"/>
    <x:mergeCell ref="A58:H58"/>
    <x:mergeCell ref="B59:H59"/>
    <x:mergeCell ref="D60:H60"/>
    <x:mergeCell ref="B61:H61"/>
    <x:mergeCell ref="B62:H62"/>
    <x:mergeCell ref="F67:H67"/>
    <x:mergeCell ref="B68:H68"/>
    <x:mergeCell ref="B69:H69"/>
    <x:mergeCell ref="B70:H70"/>
    <x:mergeCell ref="A11:B11"/>
    <x:mergeCell ref="G11:H11"/>
    <x:mergeCell ref="A12:H12"/>
  </x:mergeCells>
  <x:conditionalFormatting sqref="D20:D20">
    <x:cfRule type="cellIs" dxfId="129" priority="1" operator="greaterThanOrEqual">
      <x:formula>90</x:formula>
    </x:cfRule>
    <x:cfRule type="cellIs" dxfId="130" priority="2" operator="between">
      <x:formula>70</x:formula>
    </x:cfRule>
    <x:cfRule type="cellIs" dxfId="131" priority="3" operator="lessThan">
      <x:formula>70</x:formula>
    </x:cfRule>
  </x:conditionalFormatting>
  <x:conditionalFormatting sqref="D21:D21">
    <x:cfRule type="cellIs" dxfId="132" priority="4" operator="greaterThanOrEqual">
      <x:formula>90</x:formula>
    </x:cfRule>
    <x:cfRule type="cellIs" dxfId="133" priority="5" operator="between">
      <x:formula>70</x:formula>
    </x:cfRule>
    <x:cfRule type="cellIs" dxfId="134" priority="6" operator="lessThan">
      <x:formula>70</x:formula>
    </x:cfRule>
  </x:conditionalFormatting>
  <x:conditionalFormatting sqref="D22:D22">
    <x:cfRule type="cellIs" dxfId="135" priority="7" operator="greaterThanOrEqual">
      <x:formula>90</x:formula>
    </x:cfRule>
    <x:cfRule type="cellIs" dxfId="136" priority="8" operator="between">
      <x:formula>70</x:formula>
    </x:cfRule>
    <x:cfRule type="cellIs" dxfId="137" priority="9" operator="lessThan">
      <x:formula>70</x:formula>
    </x:cfRule>
  </x:conditionalFormatting>
  <x:conditionalFormatting sqref="D35:D35">
    <x:cfRule type="cellIs" dxfId="138" priority="10" operator="greaterThanOrEqual">
      <x:formula>90</x:formula>
    </x:cfRule>
    <x:cfRule type="cellIs" dxfId="139" priority="11" operator="between">
      <x:formula>70</x:formula>
    </x:cfRule>
    <x:cfRule type="cellIs" dxfId="140" priority="12" operator="lessThan">
      <x:formula>70</x:formula>
    </x:cfRule>
  </x:conditionalFormatting>
  <x:conditionalFormatting sqref="D36:D36">
    <x:cfRule type="cellIs" dxfId="141" priority="13" operator="greaterThanOrEqual">
      <x:formula>90</x:formula>
    </x:cfRule>
    <x:cfRule type="cellIs" dxfId="142" priority="14" operator="between">
      <x:formula>70</x:formula>
    </x:cfRule>
    <x:cfRule type="cellIs" dxfId="143" priority="15" operator="lessThan">
      <x:formula>70</x:formula>
    </x:cfRule>
  </x:conditionalFormatting>
  <x:conditionalFormatting sqref="D37:D37">
    <x:cfRule type="cellIs" dxfId="144" priority="16" operator="greaterThanOrEqual">
      <x:formula>90</x:formula>
    </x:cfRule>
    <x:cfRule type="cellIs" dxfId="145" priority="17" operator="between">
      <x:formula>70</x:formula>
    </x:cfRule>
    <x:cfRule type="cellIs" dxfId="146" priority="18" operator="lessThan">
      <x:formula>70</x:formula>
    </x:cfRule>
  </x:conditionalFormatting>
  <x:conditionalFormatting sqref="D50:D50">
    <x:cfRule type="cellIs" dxfId="147" priority="19" operator="greaterThanOrEqual">
      <x:formula>90</x:formula>
    </x:cfRule>
    <x:cfRule type="cellIs" dxfId="148" priority="20" operator="between">
      <x:formula>70</x:formula>
    </x:cfRule>
    <x:cfRule type="cellIs" dxfId="149" priority="21" operator="lessThan">
      <x:formula>70</x:formula>
    </x:cfRule>
  </x:conditionalFormatting>
  <x:conditionalFormatting sqref="D51:D51">
    <x:cfRule type="cellIs" dxfId="150" priority="22" operator="greaterThanOrEqual">
      <x:formula>90</x:formula>
    </x:cfRule>
    <x:cfRule type="cellIs" dxfId="151" priority="23" operator="between">
      <x:formula>70</x:formula>
    </x:cfRule>
    <x:cfRule type="cellIs" dxfId="152" priority="24" operator="lessThan">
      <x:formula>70</x:formula>
    </x:cfRule>
  </x:conditionalFormatting>
  <x:conditionalFormatting sqref="D52:D52">
    <x:cfRule type="cellIs" dxfId="153" priority="25" operator="greaterThanOrEqual">
      <x:formula>90</x:formula>
    </x:cfRule>
    <x:cfRule type="cellIs" dxfId="154" priority="26" operator="between">
      <x:formula>70</x:formula>
    </x:cfRule>
    <x:cfRule type="cellIs" dxfId="155" priority="27" operator="lessThan">
      <x:formula>70</x:formula>
    </x:cfRule>
  </x:conditionalFormatting>
  <x:conditionalFormatting sqref="D65:D65">
    <x:cfRule type="cellIs" dxfId="156" priority="28" operator="greaterThanOrEqual">
      <x:formula>90</x:formula>
    </x:cfRule>
    <x:cfRule type="cellIs" dxfId="157" priority="29" operator="between">
      <x:formula>70</x:formula>
    </x:cfRule>
    <x:cfRule type="cellIs" dxfId="158" priority="30" operator="lessThan">
      <x:formula>70</x:formula>
    </x:cfRule>
  </x:conditionalFormatting>
  <x:conditionalFormatting sqref="D66:D66">
    <x:cfRule type="cellIs" dxfId="159" priority="31" operator="greaterThanOrEqual">
      <x:formula>90</x:formula>
    </x:cfRule>
    <x:cfRule type="cellIs" dxfId="160" priority="32" operator="between">
      <x:formula>70</x:formula>
    </x:cfRule>
    <x:cfRule type="cellIs" dxfId="161" priority="33" operator="lessThan">
      <x:formula>70</x:formula>
    </x:cfRule>
  </x:conditionalFormatting>
  <x:dataValidations count="11"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22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37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  <x:dataValidation type="list" sqref="D52">
      <x:formula1>"0,5,10,15,20,25,30,35,40,45,50,55,60,65,70,75,80,85,90,95,100"</x:formula1>
    </x:dataValidation>
    <x:dataValidation type="list" sqref="D65">
      <x:formula1>"0,5,10,15,20,25,30,35,40,45,50,55,60,65,70,75,80,85,90,95,100"</x:formula1>
    </x:dataValidation>
    <x:dataValidation type="list" sqref="D66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ADMIN OPERATIONS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Operations</x:v>
      </x:c>
      <x:c r="C2" s="26" t="str">
        <x:v>KPI Code</x:v>
      </x:c>
      <x:c r="D2" s="16" t="str">
        <x:v>KPI-OPS-ADM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Kepala Produksi</x:v>
      </x:c>
      <x:c r="C3" s="26" t="str">
        <x:v>Headcount Reference</x:v>
      </x:c>
      <x:c r="D3" s="16" t="str">
        <x:v>2</x:v>
      </x:c>
      <x:c r="E3" s="26" t="str">
        <x:v>Applicable KPI</x:v>
      </x:c>
      <x:c r="F3" s="16" t="n">
        <x:v>4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Validasi Order &amp; Akurasi Work Order</x:v>
      </x:c>
      <x:c r="C7" s="68" t="n">
        <x:v>0.4</x:v>
      </x:c>
      <x:c r="D7" s="46" t="n">
        <x:f>B23</x:f>
        <x:v>0</x:v>
      </x:c>
      <x:c r="E7" s="46" t="n">
        <x:f>D23</x:f>
        <x:v>0</x:v>
      </x:c>
      <x:c r="F7" s="46" t="str">
        <x:f>F23</x:f>
        <x:v>Waiting for Input</x:v>
      </x:c>
      <x:c r="G7" s="16" t="str">
        <x:v>WI-OPS-001, WI-OPS-002
Bukti: checklist order, WO, folder/link order.</x:v>
      </x:c>
      <x:c r="H7" s="16" t="str">
        <x:v>RC-KPI-OPS-ADM-01</x:v>
      </x:c>
    </x:row>
    <x:row r="8" ht="36" customHeight="1">
      <x:c r="A8" s="16" t="n">
        <x:v>2</x:v>
      </x:c>
      <x:c r="B8" s="16" t="str">
        <x:v>Data Produksi, Reject &amp; Material</x:v>
      </x:c>
      <x:c r="C8" s="68" t="n">
        <x:v>0.3</x:v>
      </x:c>
      <x:c r="D8" s="46" t="n">
        <x:f>B38</x:f>
        <x:v>0</x:v>
      </x:c>
      <x:c r="E8" s="46" t="n">
        <x:f>D38</x:f>
        <x:v>0</x:v>
      </x:c>
      <x:c r="F8" s="46" t="str">
        <x:f>F38</x:f>
        <x:v>Waiting for Input</x:v>
      </x:c>
      <x:c r="G8" s="16" t="str">
        <x:v>WI-OPS-016
Bukti: rekap produksi, defect log, pemakaian bahan, laporan mingguan.</x:v>
      </x:c>
      <x:c r="H8" s="16" t="str">
        <x:v>RC-KPI-OPS-ADM-02</x:v>
      </x:c>
    </x:row>
    <x:row r="9" ht="36" customHeight="1">
      <x:c r="A9" s="16" t="n">
        <x:v>3</x:v>
      </x:c>
      <x:c r="B9" s="16" t="str">
        <x:v>Dokumen Pengiriman</x:v>
      </x:c>
      <x:c r="C9" s="68" t="n">
        <x:v>0.2</x:v>
      </x:c>
      <x:c r="D9" s="46" t="n">
        <x:f>B52</x:f>
        <x:v>0</x:v>
      </x:c>
      <x:c r="E9" s="46" t="n">
        <x:f>D52</x:f>
        <x:v>0</x:v>
      </x:c>
      <x:c r="F9" s="46" t="str">
        <x:f>F52</x:f>
        <x:v>Waiting for Input</x:v>
      </x:c>
      <x:c r="G9" s="16" t="str">
        <x:v>WI-OPS-014
Bukti: resi, surat jalan, packing list, log revisi.</x:v>
      </x:c>
      <x:c r="H9" s="16" t="str">
        <x:v>RC-KPI-OPS-ADM-03</x:v>
      </x:c>
    </x:row>
    <x:row r="10" ht="36" customHeight="1">
      <x:c r="A10" s="16" t="n">
        <x:v>4</x:v>
      </x:c>
      <x:c r="B10" s="16" t="str">
        <x:v>Koordinasi Status Order &amp; Pelaporan</x:v>
      </x:c>
      <x:c r="C10" s="68" t="n">
        <x:v>0.1</x:v>
      </x:c>
      <x:c r="D10" s="46" t="n">
        <x:f>B67</x:f>
        <x:v>0</x:v>
      </x:c>
      <x:c r="E10" s="46" t="n">
        <x:f>D67</x:f>
        <x:v>0</x:v>
      </x:c>
      <x:c r="F10" s="46" t="str">
        <x:f>F67</x:f>
        <x:v>Waiting for Input</x:v>
      </x:c>
      <x:c r="G10" s="16" t="str">
        <x:v>WI-OPS-003, WI-OPS-016
Bukti: tracker order, notulen/rekap, bukti update lintas divisi.</x:v>
      </x:c>
      <x:c r="H10" s="16" t="str">
        <x:v>RC-KPI-OPS-ADM-04</x:v>
      </x:c>
    </x:row>
    <x:row r="11">
      <x:c r="A11" s="62" t="str">
        <x:v>Overall Role Score</x:v>
      </x:c>
      <x:c r="B11" s="52"/>
      <x:c r="C11" s="26" t="str">
        <x:v>Total Weight</x:v>
      </x:c>
      <x:c r="D11" s="68" t="n">
        <x:f>SUM(C7:C10)</x:f>
        <x:v>0.9999999999999999</x:v>
      </x:c>
      <x:c r="E11" s="46" t="str">
        <x:f>IF(COUNT(D20:D22,D35:D37,D50:D51,D64:D66)=0,"",SUM(E7:E10))</x:f>
      </x:c>
      <x:c r="F11" s="26" t="str">
        <x:v>Overall Status</x:v>
      </x:c>
      <x:c r="G11" s="46" t="str">
        <x:f>IF(COUNT(D20:D22,D35:D37,D50:D51,D64:D66)=0,"Waiting for Input",IF(E11&gt;=90,"On Track",IF(E11&gt;=80,"Good",IF(E11&gt;=70,"Need Improvement","Priority"))))</x:f>
        <x:v>Waiting for Input</x:v>
      </x:c>
      <x:c r="H11" s="52"/>
    </x:row>
    <x:row r="12" ht="22" customHeight="1">
      <x:c r="A12" s="16" t="str">
        <x:v>Fill yellow cells only. Score output is calculated from the average Achievement % of KPI details in each card.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62" t="str">
        <x:v>RC-KPI-OPS-ADM-01 — Validasi Order &amp; Akurasi Work Order</x:v>
      </x:c>
      <x:c r="B13" s="52"/>
      <x:c r="C13" s="52"/>
      <x:c r="D13" s="52"/>
      <x:c r="E13" s="52"/>
      <x:c r="F13" s="52"/>
      <x:c r="G13" s="52"/>
      <x:c r="H13" s="52"/>
    </x:row>
    <x:row r="14" ht="24" customHeight="1">
      <x:c r="A14" s="26" t="str">
        <x:v>KPI / Phase</x:v>
      </x:c>
      <x:c r="B14" s="16" t="str">
        <x:v>Validasi Order &amp; Akurasi Work Order</x:v>
      </x:c>
      <x:c r="C14" s="52"/>
      <x:c r="D14" s="52"/>
      <x:c r="E14" s="52"/>
      <x:c r="F14" s="52"/>
      <x:c r="G14" s="52"/>
      <x:c r="H14" s="52"/>
    </x:row>
    <x:row r="15" ht="30" customHeight="1">
      <x:c r="A15" s="26" t="str">
        <x:v>Adjusted Weight</x:v>
      </x:c>
      <x:c r="B15" s="68" t="n">
        <x:v>0.4</x:v>
      </x:c>
      <x:c r="C15" s="26" t="str">
        <x:v>WI Reference</x:v>
      </x:c>
      <x:c r="D15" s="16" t="str">
        <x:v>WI-OPS-001, WI-OPS-002
Bukti: checklist order, WO, folder/link order.</x:v>
      </x:c>
      <x:c r="E15" s="52"/>
      <x:c r="F15" s="52"/>
      <x:c r="G15" s="52"/>
      <x:c r="H15" s="52"/>
    </x:row>
    <x:row r="16" ht="36" customHeight="1">
      <x:c r="A16" s="26" t="str">
        <x:v>Objective</x:v>
      </x:c>
      <x:c r="B16" s="16" t="str">
        <x:v>Menerbitkan WO hanya dari data pesanan yang lengkap, jelas, dan sudah memenuhi syarat proses produksi.</x:v>
      </x:c>
      <x:c r="C16" s="52"/>
      <x:c r="D16" s="52"/>
      <x:c r="E16" s="52"/>
      <x:c r="F16" s="52"/>
      <x:c r="G16" s="52"/>
      <x:c r="H16" s="52"/>
    </x:row>
    <x:row r="17" ht="32" customHeight="1">
      <x:c r="A17" s="26" t="str">
        <x:v>Target Baseline</x:v>
      </x:c>
      <x:c r="B17" s="16" t="str">
        <x:v>100% checklist order; 0 WO data kritis kosong; 100% arsip WO.</x:v>
      </x:c>
      <x:c r="C17" s="52"/>
      <x:c r="D17" s="52"/>
      <x:c r="E17" s="52"/>
      <x:c r="F17" s="52"/>
      <x:c r="G17" s="52"/>
      <x:c r="H17" s="52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 ht="36" customHeight="1">
      <x:c r="A19" s="36" t="str">
        <x:v>No.</x:v>
      </x:c>
      <x:c r="B19" s="36" t="str">
        <x:v>KPI Detail / What to Check</x:v>
      </x:c>
      <x:c r="C19" s="36" t="str">
        <x:v>Actual Result</x:v>
      </x:c>
      <x:c r="D19" s="36" t="str">
        <x:v>Achievement %
(0–100)</x:v>
      </x:c>
      <x:c r="E19" s="36" t="str">
        <x:v>Evidence / Proof</x:v>
      </x:c>
      <x:c r="F19" s="36" t="str">
        <x:v>Status</x:v>
      </x:c>
      <x:c r="G19" s="36" t="str">
        <x:v>Issue / Root Cause</x:v>
      </x:c>
      <x:c r="H19" s="36" t="str">
        <x:v>Action / Follow-up</x:v>
      </x:c>
    </x:row>
    <x:row r="20" ht="52" customHeight="1">
      <x:c r="A20" s="16" t="n">
        <x:v>1</x:v>
      </x:c>
      <x:c r="B20" s="16" t="str">
        <x:v>100% order melalui checklist kelengkapan sebelum WO terbit.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2</x:v>
      </x:c>
      <x:c r="B21" s="16" t="str">
        <x:v>0 WO terbit dengan data kritis kosong (produk, jumlah, desain, deadline, alamat/metode bila relevan).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 ht="52" customHeight="1">
      <x:c r="A22" s="16" t="n">
        <x:v>3</x:v>
      </x:c>
      <x:c r="B22" s="16" t="str">
        <x:v>100% WO disimpan pada folder/sistem resmi.</x:v>
      </x:c>
      <x:c r="C22" s="54" t="str"/>
      <x:c r="D22" s="54" t="str"/>
      <x:c r="E22" s="54" t="str"/>
      <x:c r="F22" s="46" t="str">
        <x:f>IF(D22="","",IF(D22&gt;=90,"On Track",IF(D22&gt;=80,"Good",IF(D22&gt;=70,"Need Improvement","Priority"))))</x:f>
      </x:c>
      <x:c r="G22" s="54" t="str"/>
      <x:c r="H22" s="54" t="str"/>
    </x:row>
    <x:row r="23">
      <x:c r="A23" s="26" t="str">
        <x:v>Card Score</x:v>
      </x:c>
      <x:c r="B23" s="46" t="str">
        <x:f>IF(COUNT(D20:D22)=0,"",AVERAGE(D20:D22))</x:f>
      </x:c>
      <x:c r="C23" s="26" t="str">
        <x:v>Weighted Score</x:v>
      </x:c>
      <x:c r="D23" s="46" t="str">
        <x:f>IF(B23="","",B23*$B$15)</x:f>
      </x:c>
      <x:c r="E23" s="26" t="str">
        <x:v>Card Status</x:v>
      </x:c>
      <x:c r="F23" s="46" t="str">
        <x:f>IF(COUNT(D20:D22)=0,"Waiting for Input",IF(B23&gt;=90,"On Track",IF(B23&gt;=80,"Good",IF(B23&gt;=70,"Need Improvement","Priority"))))</x:f>
        <x:v>Waiting for Input</x:v>
      </x:c>
      <x:c r="G23" s="52"/>
      <x:c r="H23" s="52"/>
    </x:row>
    <x:row r="24" ht="34" customHeight="1">
      <x:c r="A24" s="26" t="str">
        <x:v>Overall Root Cause / Key Finding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Action Plan, PIC &amp; Due Date</x:v>
      </x:c>
      <x:c r="B25" s="54" t="str"/>
      <x:c r="C25" s="52"/>
      <x:c r="D25" s="52"/>
      <x:c r="E25" s="52"/>
      <x:c r="F25" s="52"/>
      <x:c r="G25" s="52"/>
      <x:c r="H25" s="52"/>
    </x:row>
    <x:row r="26" ht="34" customHeight="1">
      <x:c r="A26" s="26" t="str">
        <x:v>Reviewer Note</x:v>
      </x:c>
      <x:c r="B26" s="54" t="str"/>
      <x:c r="C26" s="52"/>
      <x:c r="D26" s="52"/>
      <x:c r="E26" s="52"/>
      <x:c r="F26" s="52"/>
      <x:c r="G26" s="52"/>
      <x:c r="H26" s="52"/>
    </x:row>
    <x:row r="27">
      <x:c r="A27" s="52"/>
      <x:c r="B27" s="52"/>
      <x:c r="C27" s="52"/>
      <x:c r="D27" s="52"/>
      <x:c r="E27" s="52"/>
      <x:c r="F27" s="52"/>
      <x:c r="G27" s="52"/>
      <x:c r="H27" s="52"/>
    </x:row>
    <x:row r="28" ht="24" customHeight="1">
      <x:c r="A28" s="62" t="str">
        <x:v>RC-KPI-OPS-ADM-02 — Data Produksi, Reject &amp; Material</x:v>
      </x:c>
      <x:c r="B28" s="52"/>
      <x:c r="C28" s="52"/>
      <x:c r="D28" s="52"/>
      <x:c r="E28" s="52"/>
      <x:c r="F28" s="52"/>
      <x:c r="G28" s="52"/>
      <x:c r="H28" s="52"/>
    </x:row>
    <x:row r="29" ht="24" customHeight="1">
      <x:c r="A29" s="26" t="str">
        <x:v>KPI / Phase</x:v>
      </x:c>
      <x:c r="B29" s="16" t="str">
        <x:v>Data Produksi, Reject &amp; Material</x:v>
      </x:c>
      <x:c r="C29" s="52"/>
      <x:c r="D29" s="52"/>
      <x:c r="E29" s="52"/>
      <x:c r="F29" s="52"/>
      <x:c r="G29" s="52"/>
      <x:c r="H29" s="52"/>
    </x:row>
    <x:row r="30" ht="30" customHeight="1">
      <x:c r="A30" s="26" t="str">
        <x:v>Adjusted Weight</x:v>
      </x:c>
      <x:c r="B30" s="68" t="n">
        <x:v>0.3</x:v>
      </x:c>
      <x:c r="C30" s="26" t="str">
        <x:v>WI Reference</x:v>
      </x:c>
      <x:c r="D30" s="16" t="str">
        <x:v>WI-OPS-016
Bukti: rekap produksi, defect log, pemakaian bahan, laporan mingguan.</x:v>
      </x:c>
      <x:c r="E30" s="52"/>
      <x:c r="F30" s="52"/>
      <x:c r="G30" s="52"/>
      <x:c r="H30" s="52"/>
    </x:row>
    <x:row r="31" ht="36" customHeight="1">
      <x:c r="A31" s="26" t="str">
        <x:v>Objective</x:v>
      </x:c>
      <x:c r="B31" s="16" t="str">
        <x:v>Mencatat output, reject/rework, dan pemakaian bahan secara konsisten sebagai dasar HPP dan evaluasi operasional.</x:v>
      </x:c>
      <x:c r="C31" s="52"/>
      <x:c r="D31" s="52"/>
      <x:c r="E31" s="52"/>
      <x:c r="F31" s="52"/>
      <x:c r="G31" s="52"/>
      <x:c r="H31" s="52"/>
    </x:row>
    <x:row r="32" ht="32" customHeight="1">
      <x:c r="A32" s="26" t="str">
        <x:v>Target Baseline</x:v>
      </x:c>
      <x:c r="B32" s="16" t="str">
        <x:v>100% input maksimal H+1; 0 selisih tanpa klarifikasi; 4 rekap/minggu.</x:v>
      </x:c>
      <x:c r="C32" s="52"/>
      <x:c r="D32" s="52"/>
      <x:c r="E32" s="52"/>
      <x:c r="F32" s="52"/>
      <x:c r="G32" s="52"/>
      <x:c r="H32" s="52"/>
    </x:row>
    <x:row r="33">
      <x:c r="A33" s="52"/>
      <x:c r="B33" s="52"/>
      <x:c r="C33" s="52"/>
      <x:c r="D33" s="52"/>
      <x:c r="E33" s="52"/>
      <x:c r="F33" s="52"/>
      <x:c r="G33" s="52"/>
      <x:c r="H33" s="52"/>
    </x:row>
    <x:row r="34" ht="36" customHeight="1">
      <x:c r="A34" s="36" t="str">
        <x:v>No.</x:v>
      </x:c>
      <x:c r="B34" s="36" t="str">
        <x:v>KPI Detail / What to Check</x:v>
      </x:c>
      <x:c r="C34" s="36" t="str">
        <x:v>Actual Result</x:v>
      </x:c>
      <x:c r="D34" s="36" t="str">
        <x:v>Achievement %
(0–100)</x:v>
      </x:c>
      <x:c r="E34" s="36" t="str">
        <x:v>Evidence / Proof</x:v>
      </x:c>
      <x:c r="F34" s="36" t="str">
        <x:v>Status</x:v>
      </x:c>
      <x:c r="G34" s="36" t="str">
        <x:v>Issue / Root Cause</x:v>
      </x:c>
      <x:c r="H34" s="36" t="str">
        <x:v>Action / Follow-up</x:v>
      </x:c>
    </x:row>
    <x:row r="35" ht="52" customHeight="1">
      <x:c r="A35" s="16" t="n">
        <x:v>1</x:v>
      </x:c>
      <x:c r="B35" s="16" t="str">
        <x:v>100% laporan produksi, QC, dan bahan diinput maksimal H+1.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2</x:v>
      </x:c>
      <x:c r="B36" s="16" t="str">
        <x:v>0 selisih data yang belum diberi catatan klarifikasi.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 ht="52" customHeight="1">
      <x:c r="A37" s="16" t="n">
        <x:v>3</x:v>
      </x:c>
      <x:c r="B37" s="16" t="str">
        <x:v>Rekap mingguan siap untuk Finance dan Sales.</x:v>
      </x:c>
      <x:c r="C37" s="54" t="str"/>
      <x:c r="D37" s="54" t="str"/>
      <x:c r="E37" s="54" t="str"/>
      <x:c r="F37" s="46" t="str">
        <x:f>IF(D37="","",IF(D37&gt;=90,"On Track",IF(D37&gt;=80,"Good",IF(D37&gt;=70,"Need Improvement","Priority"))))</x:f>
      </x:c>
      <x:c r="G37" s="54" t="str"/>
      <x:c r="H37" s="54" t="str"/>
    </x:row>
    <x:row r="38">
      <x:c r="A38" s="26" t="str">
        <x:v>Card Score</x:v>
      </x:c>
      <x:c r="B38" s="46" t="str">
        <x:f>IF(COUNT(D35:D37)=0,"",AVERAGE(D35:D37))</x:f>
      </x:c>
      <x:c r="C38" s="26" t="str">
        <x:v>Weighted Score</x:v>
      </x:c>
      <x:c r="D38" s="46" t="str">
        <x:f>IF(B38="","",B38*$B$30)</x:f>
      </x:c>
      <x:c r="E38" s="26" t="str">
        <x:v>Card Status</x:v>
      </x:c>
      <x:c r="F38" s="46" t="str">
        <x:f>IF(COUNT(D35:D37)=0,"Waiting for Input",IF(B38&gt;=90,"On Track",IF(B38&gt;=80,"Good",IF(B38&gt;=70,"Need Improvement","Priority"))))</x:f>
        <x:v>Waiting for Input</x:v>
      </x:c>
      <x:c r="G38" s="52"/>
      <x:c r="H38" s="52"/>
    </x:row>
    <x:row r="39" ht="34" customHeight="1">
      <x:c r="A39" s="26" t="str">
        <x:v>Overall Root Cause / Key Finding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Action Plan, PIC &amp; Due Date</x:v>
      </x:c>
      <x:c r="B40" s="54" t="str"/>
      <x:c r="C40" s="52"/>
      <x:c r="D40" s="52"/>
      <x:c r="E40" s="52"/>
      <x:c r="F40" s="52"/>
      <x:c r="G40" s="52"/>
      <x:c r="H40" s="52"/>
    </x:row>
    <x:row r="41" ht="34" customHeight="1">
      <x:c r="A41" s="26" t="str">
        <x:v>Reviewer Note</x:v>
      </x:c>
      <x:c r="B41" s="54" t="str"/>
      <x:c r="C41" s="52"/>
      <x:c r="D41" s="52"/>
      <x:c r="E41" s="52"/>
      <x:c r="F41" s="52"/>
      <x:c r="G41" s="52"/>
      <x:c r="H41" s="52"/>
    </x:row>
    <x:row r="42">
      <x:c r="A42" s="52"/>
      <x:c r="B42" s="52"/>
      <x:c r="C42" s="52"/>
      <x:c r="D42" s="52"/>
      <x:c r="E42" s="52"/>
      <x:c r="F42" s="52"/>
      <x:c r="G42" s="52"/>
      <x:c r="H42" s="52"/>
    </x:row>
    <x:row r="43" ht="24" customHeight="1">
      <x:c r="A43" s="62" t="str">
        <x:v>RC-KPI-OPS-ADM-03 — Dokumen Pengiriman</x:v>
      </x:c>
      <x:c r="B43" s="52"/>
      <x:c r="C43" s="52"/>
      <x:c r="D43" s="52"/>
      <x:c r="E43" s="52"/>
      <x:c r="F43" s="52"/>
      <x:c r="G43" s="52"/>
      <x:c r="H43" s="52"/>
    </x:row>
    <x:row r="44" ht="24" customHeight="1">
      <x:c r="A44" s="26" t="str">
        <x:v>KPI / Phase</x:v>
      </x:c>
      <x:c r="B44" s="16" t="str">
        <x:v>Dokumen Pengiriman</x:v>
      </x:c>
      <x:c r="C44" s="52"/>
      <x:c r="D44" s="52"/>
      <x:c r="E44" s="52"/>
      <x:c r="F44" s="52"/>
      <x:c r="G44" s="52"/>
      <x:c r="H44" s="52"/>
    </x:row>
    <x:row r="45" ht="30" customHeight="1">
      <x:c r="A45" s="26" t="str">
        <x:v>Adjusted Weight</x:v>
      </x:c>
      <x:c r="B45" s="68" t="n">
        <x:v>0.2</x:v>
      </x:c>
      <x:c r="C45" s="26" t="str">
        <x:v>WI Reference</x:v>
      </x:c>
      <x:c r="D45" s="16" t="str">
        <x:v>WI-OPS-014
Bukti: resi, surat jalan, packing list, log revisi.</x:v>
      </x:c>
      <x:c r="E45" s="52"/>
      <x:c r="F45" s="52"/>
      <x:c r="G45" s="52"/>
      <x:c r="H45" s="52"/>
    </x:row>
    <x:row r="46" ht="36" customHeight="1">
      <x:c r="A46" s="26" t="str">
        <x:v>Objective</x:v>
      </x:c>
      <x:c r="B46" s="16" t="str">
        <x:v>Menyiapkan resi, surat jalan, dan packing list yang benar agar Logistik dapat mengirim tanpa kesalahan data.</x:v>
      </x:c>
      <x:c r="C46" s="52"/>
      <x:c r="D46" s="52"/>
      <x:c r="E46" s="52"/>
      <x:c r="F46" s="52"/>
      <x:c r="G46" s="52"/>
      <x:c r="H46" s="52"/>
    </x:row>
    <x:row r="47" ht="32" customHeight="1">
      <x:c r="A47" s="26" t="str">
        <x:v>Target Baseline</x:v>
      </x:c>
      <x:c r="B47" s="16" t="str">
        <x:v>100% verifikasi dokumen; 0 salah dokumen akibat input.</x:v>
      </x:c>
      <x:c r="C47" s="52"/>
      <x:c r="D47" s="52"/>
      <x:c r="E47" s="52"/>
      <x:c r="F47" s="52"/>
      <x:c r="G47" s="52"/>
      <x:c r="H47" s="52"/>
    </x:row>
    <x:row r="48">
      <x:c r="A48" s="52"/>
      <x:c r="B48" s="52"/>
      <x:c r="C48" s="52"/>
      <x:c r="D48" s="52"/>
      <x:c r="E48" s="52"/>
      <x:c r="F48" s="52"/>
      <x:c r="G48" s="52"/>
      <x:c r="H48" s="52"/>
    </x:row>
    <x:row r="49" ht="36" customHeight="1">
      <x:c r="A49" s="36" t="str">
        <x:v>No.</x:v>
      </x:c>
      <x:c r="B49" s="36" t="str">
        <x:v>KPI Detail / What to Check</x:v>
      </x:c>
      <x:c r="C49" s="36" t="str">
        <x:v>Actual Result</x:v>
      </x:c>
      <x:c r="D49" s="36" t="str">
        <x:v>Achievement %
(0–100)</x:v>
      </x:c>
      <x:c r="E49" s="36" t="str">
        <x:v>Evidence / Proof</x:v>
      </x:c>
      <x:c r="F49" s="36" t="str">
        <x:v>Status</x:v>
      </x:c>
      <x:c r="G49" s="36" t="str">
        <x:v>Issue / Root Cause</x:v>
      </x:c>
      <x:c r="H49" s="36" t="str">
        <x:v>Action / Follow-up</x:v>
      </x:c>
    </x:row>
    <x:row r="50" ht="52" customHeight="1">
      <x:c r="A50" s="16" t="n">
        <x:v>1</x:v>
      </x:c>
      <x:c r="B50" s="16" t="str">
        <x:v>100% dokumen pengiriman dicek terhadap nama, alamat, kontak, produk, jumlah, dan metode kirim.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2</x:v>
      </x:c>
      <x:c r="B51" s="16" t="str">
        <x:v>0 salah dokumen pengiriman akibat kesalahan input Admin Ops.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>
      <x:c r="A52" s="26" t="str">
        <x:v>Card Score</x:v>
      </x:c>
      <x:c r="B52" s="46" t="str">
        <x:f>IF(COUNT(D50:D51)=0,"",AVERAGE(D50:D51))</x:f>
      </x:c>
      <x:c r="C52" s="26" t="str">
        <x:v>Weighted Score</x:v>
      </x:c>
      <x:c r="D52" s="46" t="str">
        <x:f>IF(B52="","",B52*$B$45)</x:f>
      </x:c>
      <x:c r="E52" s="26" t="str">
        <x:v>Card Status</x:v>
      </x:c>
      <x:c r="F52" s="46" t="str">
        <x:f>IF(COUNT(D50:D51)=0,"Waiting for Input",IF(B52&gt;=90,"On Track",IF(B52&gt;=80,"Good",IF(B52&gt;=70,"Need Improvement","Priority"))))</x:f>
        <x:v>Waiting for Input</x:v>
      </x:c>
      <x:c r="G52" s="52"/>
      <x:c r="H52" s="52"/>
    </x:row>
    <x:row r="53" ht="34" customHeight="1">
      <x:c r="A53" s="26" t="str">
        <x:v>Overall Root Cause / Key Finding</x:v>
      </x:c>
      <x:c r="B53" s="54" t="str"/>
      <x:c r="C53" s="52"/>
      <x:c r="D53" s="52"/>
      <x:c r="E53" s="52"/>
      <x:c r="F53" s="52"/>
      <x:c r="G53" s="52"/>
      <x:c r="H53" s="52"/>
    </x:row>
    <x:row r="54" ht="34" customHeight="1">
      <x:c r="A54" s="26" t="str">
        <x:v>Action Plan, PIC &amp; Due Date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Reviewer Note</x:v>
      </x:c>
      <x:c r="B55" s="54" t="str"/>
      <x:c r="C55" s="52"/>
      <x:c r="D55" s="52"/>
      <x:c r="E55" s="52"/>
      <x:c r="F55" s="52"/>
      <x:c r="G55" s="52"/>
      <x:c r="H55" s="52"/>
    </x:row>
    <x:row r="56">
      <x:c r="A56" s="52"/>
      <x:c r="B56" s="52"/>
      <x:c r="C56" s="52"/>
      <x:c r="D56" s="52"/>
      <x:c r="E56" s="52"/>
      <x:c r="F56" s="52"/>
      <x:c r="G56" s="52"/>
      <x:c r="H56" s="52"/>
    </x:row>
    <x:row r="57" ht="24" customHeight="1">
      <x:c r="A57" s="62" t="str">
        <x:v>RC-KPI-OPS-ADM-04 — Koordinasi Status Order &amp; Pelaporan</x:v>
      </x:c>
      <x:c r="B57" s="52"/>
      <x:c r="C57" s="52"/>
      <x:c r="D57" s="52"/>
      <x:c r="E57" s="52"/>
      <x:c r="F57" s="52"/>
      <x:c r="G57" s="52"/>
      <x:c r="H57" s="52"/>
    </x:row>
    <x:row r="58" ht="24" customHeight="1">
      <x:c r="A58" s="26" t="str">
        <x:v>KPI / Phase</x:v>
      </x:c>
      <x:c r="B58" s="16" t="str">
        <x:v>Koordinasi Status Order &amp; Pelaporan</x:v>
      </x:c>
      <x:c r="C58" s="52"/>
      <x:c r="D58" s="52"/>
      <x:c r="E58" s="52"/>
      <x:c r="F58" s="52"/>
      <x:c r="G58" s="52"/>
      <x:c r="H58" s="52"/>
    </x:row>
    <x:row r="59" ht="30" customHeight="1">
      <x:c r="A59" s="26" t="str">
        <x:v>Adjusted Weight</x:v>
      </x:c>
      <x:c r="B59" s="68" t="n">
        <x:v>0.1</x:v>
      </x:c>
      <x:c r="C59" s="26" t="str">
        <x:v>WI Reference</x:v>
      </x:c>
      <x:c r="D59" s="16" t="str">
        <x:v>WI-OPS-003, WI-OPS-016
Bukti: tracker order, notulen/rekap, bukti update lintas divisi.</x:v>
      </x:c>
      <x:c r="E59" s="52"/>
      <x:c r="F59" s="52"/>
      <x:c r="G59" s="52"/>
      <x:c r="H59" s="52"/>
    </x:row>
    <x:row r="60" ht="36" customHeight="1">
      <x:c r="A60" s="26" t="str">
        <x:v>Objective</x:v>
      </x:c>
      <x:c r="B60" s="16" t="str">
        <x:v>Menjadi pusat informasi status order tanpa mengambil alih komunikasi langsung Operator atau memotong jalur kerja.</x:v>
      </x:c>
      <x:c r="C60" s="52"/>
      <x:c r="D60" s="52"/>
      <x:c r="E60" s="52"/>
      <x:c r="F60" s="52"/>
      <x:c r="G60" s="52"/>
      <x:c r="H60" s="52"/>
    </x:row>
    <x:row r="61" ht="32" customHeight="1">
      <x:c r="A61" s="26" t="str">
        <x:v>Target Baseline</x:v>
      </x:c>
      <x:c r="B61" s="16" t="str">
        <x:v>100% tracker update; 4 laporan/bulan; eskalasi same day.</x:v>
      </x:c>
      <x:c r="C61" s="52"/>
      <x:c r="D61" s="52"/>
      <x:c r="E61" s="52"/>
      <x:c r="F61" s="52"/>
      <x:c r="G61" s="52"/>
      <x:c r="H61" s="52"/>
    </x:row>
    <x:row r="62">
      <x:c r="A62" s="52"/>
      <x:c r="B62" s="52"/>
      <x:c r="C62" s="52"/>
      <x:c r="D62" s="52"/>
      <x:c r="E62" s="52"/>
      <x:c r="F62" s="52"/>
      <x:c r="G62" s="52"/>
      <x:c r="H62" s="52"/>
    </x:row>
    <x:row r="63" ht="36" customHeight="1">
      <x:c r="A63" s="36" t="str">
        <x:v>No.</x:v>
      </x:c>
      <x:c r="B63" s="36" t="str">
        <x:v>KPI Detail / What to Check</x:v>
      </x:c>
      <x:c r="C63" s="36" t="str">
        <x:v>Actual Result</x:v>
      </x:c>
      <x:c r="D63" s="36" t="str">
        <x:v>Achievement %
(0–100)</x:v>
      </x:c>
      <x:c r="E63" s="36" t="str">
        <x:v>Evidence / Proof</x:v>
      </x:c>
      <x:c r="F63" s="36" t="str">
        <x:v>Status</x:v>
      </x:c>
      <x:c r="G63" s="36" t="str">
        <x:v>Issue / Root Cause</x:v>
      </x:c>
      <x:c r="H63" s="36" t="str">
        <x:v>Action / Follow-up</x:v>
      </x:c>
    </x:row>
    <x:row r="64" ht="52" customHeight="1">
      <x:c r="A64" s="16" t="n">
        <x:v>1</x:v>
      </x:c>
      <x:c r="B64" s="16" t="str">
        <x:v>100% perubahan jadwal/status order diperbarui pada tracker.</x:v>
      </x:c>
      <x:c r="C64" s="54" t="str"/>
      <x:c r="D64" s="54" t="str"/>
      <x:c r="E64" s="54" t="str"/>
      <x:c r="F64" s="46" t="str">
        <x:f>IF(D64="","",IF(D64&gt;=90,"On Track",IF(D64&gt;=80,"Good",IF(D64&gt;=70,"Need Improvement","Priority"))))</x:f>
      </x:c>
      <x:c r="G64" s="54" t="str"/>
      <x:c r="H64" s="54" t="str"/>
    </x:row>
    <x:row r="65" ht="52" customHeight="1">
      <x:c r="A65" s="16" t="n">
        <x:v>2</x:v>
      </x:c>
      <x:c r="B65" s="16" t="str">
        <x:v>4 laporan koordinasi operasional/bulan disampaikan sesuai jadwal.</x:v>
      </x:c>
      <x:c r="C65" s="54" t="str"/>
      <x:c r="D65" s="54" t="str"/>
      <x:c r="E65" s="54" t="str"/>
      <x:c r="F65" s="46" t="str">
        <x:f>IF(D65="","",IF(D65&gt;=90,"On Track",IF(D65&gt;=80,"Good",IF(D65&gt;=70,"Need Improvement","Priority"))))</x:f>
      </x:c>
      <x:c r="G65" s="54" t="str"/>
      <x:c r="H65" s="54" t="str"/>
    </x:row>
    <x:row r="66" ht="52" customHeight="1">
      <x:c r="A66" s="16" t="n">
        <x:v>3</x:v>
      </x:c>
      <x:c r="B66" s="16" t="str">
        <x:v>Hambatan kritis diteruskan ke Sales/Finance pada hari yang sama.</x:v>
      </x:c>
      <x:c r="C66" s="54" t="str"/>
      <x:c r="D66" s="54" t="str"/>
      <x:c r="E66" s="54" t="str"/>
      <x:c r="F66" s="46" t="str">
        <x:f>IF(D66="","",IF(D66&gt;=90,"On Track",IF(D66&gt;=80,"Good",IF(D66&gt;=70,"Need Improvement","Priority"))))</x:f>
      </x:c>
      <x:c r="G66" s="54" t="str"/>
      <x:c r="H66" s="54" t="str"/>
    </x:row>
    <x:row r="67">
      <x:c r="A67" s="26" t="str">
        <x:v>Card Score</x:v>
      </x:c>
      <x:c r="B67" s="46" t="str">
        <x:f>IF(COUNT(D64:D66)=0,"",AVERAGE(D64:D66))</x:f>
      </x:c>
      <x:c r="C67" s="26" t="str">
        <x:v>Weighted Score</x:v>
      </x:c>
      <x:c r="D67" s="46" t="str">
        <x:f>IF(B67="","",B67*$B$59)</x:f>
      </x:c>
      <x:c r="E67" s="26" t="str">
        <x:v>Card Status</x:v>
      </x:c>
      <x:c r="F67" s="46" t="str">
        <x:f>IF(COUNT(D64:D66)=0,"Waiting for Input",IF(B67&gt;=90,"On Track",IF(B67&gt;=80,"Good",IF(B67&gt;=70,"Need Improvement","Priority"))))</x:f>
        <x:v>Waiting for Input</x:v>
      </x:c>
      <x:c r="G67" s="52"/>
      <x:c r="H67" s="52"/>
    </x:row>
    <x:row r="68" ht="34" customHeight="1">
      <x:c r="A68" s="26" t="str">
        <x:v>Overall Root Cause / Key Finding</x:v>
      </x:c>
      <x:c r="B68" s="54" t="str"/>
      <x:c r="C68" s="52"/>
      <x:c r="D68" s="52"/>
      <x:c r="E68" s="52"/>
      <x:c r="F68" s="52"/>
      <x:c r="G68" s="52"/>
      <x:c r="H68" s="52"/>
    </x:row>
    <x:row r="69" ht="34" customHeight="1">
      <x:c r="A69" s="26" t="str">
        <x:v>Action Plan, PIC &amp; Due Date</x:v>
      </x:c>
      <x:c r="B69" s="54" t="str"/>
      <x:c r="C69" s="52"/>
      <x:c r="D69" s="52"/>
      <x:c r="E69" s="52"/>
      <x:c r="F69" s="52"/>
      <x:c r="G69" s="52"/>
      <x:c r="H69" s="52"/>
    </x:row>
    <x:row r="70" ht="34" customHeight="1">
      <x:c r="A70" s="26" t="str">
        <x:v>Reviewer Note</x:v>
      </x:c>
      <x:c r="B70" s="54" t="str"/>
      <x:c r="C70" s="52"/>
      <x:c r="D70" s="52"/>
      <x:c r="E70" s="52"/>
      <x:c r="F70" s="52"/>
      <x:c r="G70" s="52"/>
      <x:c r="H70" s="52"/>
    </x:row>
    <x:row r="71">
      <x:c r="A71" s="52"/>
      <x:c r="B71" s="52"/>
      <x:c r="C71" s="52"/>
      <x:c r="D71" s="52"/>
      <x:c r="E71" s="52"/>
      <x:c r="F71" s="52"/>
      <x:c r="G71" s="52"/>
      <x:c r="H71" s="52"/>
    </x:row>
    <x:row r="72">
      <x:c r="A72" s="52"/>
      <x:c r="B72" s="52"/>
      <x:c r="C72" s="52"/>
      <x:c r="D72" s="52"/>
      <x:c r="E72" s="52"/>
      <x:c r="F72" s="52"/>
      <x:c r="G72" s="52"/>
      <x:c r="H72" s="52"/>
    </x:row>
  </x:sheetData>
  <x:mergeCells>
    <x:mergeCell ref="A1:H1"/>
    <x:mergeCell ref="A5:H5"/>
    <x:mergeCell ref="A13:H13"/>
    <x:mergeCell ref="B14:H14"/>
    <x:mergeCell ref="D15:H15"/>
    <x:mergeCell ref="B16:H16"/>
    <x:mergeCell ref="B17:H17"/>
    <x:mergeCell ref="F23:H23"/>
    <x:mergeCell ref="B24:H24"/>
    <x:mergeCell ref="B25:H25"/>
    <x:mergeCell ref="B26:H26"/>
    <x:mergeCell ref="A28:H28"/>
    <x:mergeCell ref="B29:H29"/>
    <x:mergeCell ref="D30:H30"/>
    <x:mergeCell ref="B31:H31"/>
    <x:mergeCell ref="B32:H32"/>
    <x:mergeCell ref="F38:H38"/>
    <x:mergeCell ref="B39:H39"/>
    <x:mergeCell ref="B40:H40"/>
    <x:mergeCell ref="B41:H41"/>
    <x:mergeCell ref="A43:H43"/>
    <x:mergeCell ref="B44:H44"/>
    <x:mergeCell ref="D45:H45"/>
    <x:mergeCell ref="B46:H46"/>
    <x:mergeCell ref="B47:H47"/>
    <x:mergeCell ref="F52:H52"/>
    <x:mergeCell ref="B53:H53"/>
    <x:mergeCell ref="B54:H54"/>
    <x:mergeCell ref="B55:H55"/>
    <x:mergeCell ref="A57:H57"/>
    <x:mergeCell ref="B58:H58"/>
    <x:mergeCell ref="D59:H59"/>
    <x:mergeCell ref="B60:H60"/>
    <x:mergeCell ref="B61:H61"/>
    <x:mergeCell ref="F67:H67"/>
    <x:mergeCell ref="B68:H68"/>
    <x:mergeCell ref="B69:H69"/>
    <x:mergeCell ref="B70:H70"/>
    <x:mergeCell ref="A11:B11"/>
    <x:mergeCell ref="G11:H11"/>
    <x:mergeCell ref="A12:H12"/>
  </x:mergeCells>
  <x:conditionalFormatting sqref="D20:D20">
    <x:cfRule type="cellIs" dxfId="162" priority="1" operator="greaterThanOrEqual">
      <x:formula>90</x:formula>
    </x:cfRule>
    <x:cfRule type="cellIs" dxfId="163" priority="2" operator="between">
      <x:formula>70</x:formula>
    </x:cfRule>
    <x:cfRule type="cellIs" dxfId="164" priority="3" operator="lessThan">
      <x:formula>70</x:formula>
    </x:cfRule>
  </x:conditionalFormatting>
  <x:conditionalFormatting sqref="D21:D21">
    <x:cfRule type="cellIs" dxfId="165" priority="4" operator="greaterThanOrEqual">
      <x:formula>90</x:formula>
    </x:cfRule>
    <x:cfRule type="cellIs" dxfId="166" priority="5" operator="between">
      <x:formula>70</x:formula>
    </x:cfRule>
    <x:cfRule type="cellIs" dxfId="167" priority="6" operator="lessThan">
      <x:formula>70</x:formula>
    </x:cfRule>
  </x:conditionalFormatting>
  <x:conditionalFormatting sqref="D22:D22">
    <x:cfRule type="cellIs" dxfId="168" priority="7" operator="greaterThanOrEqual">
      <x:formula>90</x:formula>
    </x:cfRule>
    <x:cfRule type="cellIs" dxfId="169" priority="8" operator="between">
      <x:formula>70</x:formula>
    </x:cfRule>
    <x:cfRule type="cellIs" dxfId="170" priority="9" operator="lessThan">
      <x:formula>70</x:formula>
    </x:cfRule>
  </x:conditionalFormatting>
  <x:conditionalFormatting sqref="D35:D35">
    <x:cfRule type="cellIs" dxfId="171" priority="10" operator="greaterThanOrEqual">
      <x:formula>90</x:formula>
    </x:cfRule>
    <x:cfRule type="cellIs" dxfId="172" priority="11" operator="between">
      <x:formula>70</x:formula>
    </x:cfRule>
    <x:cfRule type="cellIs" dxfId="173" priority="12" operator="lessThan">
      <x:formula>70</x:formula>
    </x:cfRule>
  </x:conditionalFormatting>
  <x:conditionalFormatting sqref="D36:D36">
    <x:cfRule type="cellIs" dxfId="174" priority="13" operator="greaterThanOrEqual">
      <x:formula>90</x:formula>
    </x:cfRule>
    <x:cfRule type="cellIs" dxfId="175" priority="14" operator="between">
      <x:formula>70</x:formula>
    </x:cfRule>
    <x:cfRule type="cellIs" dxfId="176" priority="15" operator="lessThan">
      <x:formula>70</x:formula>
    </x:cfRule>
  </x:conditionalFormatting>
  <x:conditionalFormatting sqref="D37:D37">
    <x:cfRule type="cellIs" dxfId="177" priority="16" operator="greaterThanOrEqual">
      <x:formula>90</x:formula>
    </x:cfRule>
    <x:cfRule type="cellIs" dxfId="178" priority="17" operator="between">
      <x:formula>70</x:formula>
    </x:cfRule>
    <x:cfRule type="cellIs" dxfId="179" priority="18" operator="lessThan">
      <x:formula>70</x:formula>
    </x:cfRule>
  </x:conditionalFormatting>
  <x:conditionalFormatting sqref="D50:D50">
    <x:cfRule type="cellIs" dxfId="180" priority="19" operator="greaterThanOrEqual">
      <x:formula>90</x:formula>
    </x:cfRule>
    <x:cfRule type="cellIs" dxfId="181" priority="20" operator="between">
      <x:formula>70</x:formula>
    </x:cfRule>
    <x:cfRule type="cellIs" dxfId="182" priority="21" operator="lessThan">
      <x:formula>70</x:formula>
    </x:cfRule>
  </x:conditionalFormatting>
  <x:conditionalFormatting sqref="D51:D51">
    <x:cfRule type="cellIs" dxfId="183" priority="22" operator="greaterThanOrEqual">
      <x:formula>90</x:formula>
    </x:cfRule>
    <x:cfRule type="cellIs" dxfId="184" priority="23" operator="between">
      <x:formula>70</x:formula>
    </x:cfRule>
    <x:cfRule type="cellIs" dxfId="185" priority="24" operator="lessThan">
      <x:formula>70</x:formula>
    </x:cfRule>
  </x:conditionalFormatting>
  <x:conditionalFormatting sqref="D64:D64">
    <x:cfRule type="cellIs" dxfId="186" priority="25" operator="greaterThanOrEqual">
      <x:formula>90</x:formula>
    </x:cfRule>
    <x:cfRule type="cellIs" dxfId="187" priority="26" operator="between">
      <x:formula>70</x:formula>
    </x:cfRule>
    <x:cfRule type="cellIs" dxfId="188" priority="27" operator="lessThan">
      <x:formula>70</x:formula>
    </x:cfRule>
  </x:conditionalFormatting>
  <x:conditionalFormatting sqref="D65:D65">
    <x:cfRule type="cellIs" dxfId="189" priority="28" operator="greaterThanOrEqual">
      <x:formula>90</x:formula>
    </x:cfRule>
    <x:cfRule type="cellIs" dxfId="190" priority="29" operator="between">
      <x:formula>70</x:formula>
    </x:cfRule>
    <x:cfRule type="cellIs" dxfId="191" priority="30" operator="lessThan">
      <x:formula>70</x:formula>
    </x:cfRule>
  </x:conditionalFormatting>
  <x:conditionalFormatting sqref="D66:D66">
    <x:cfRule type="cellIs" dxfId="192" priority="31" operator="greaterThanOrEqual">
      <x:formula>90</x:formula>
    </x:cfRule>
    <x:cfRule type="cellIs" dxfId="193" priority="32" operator="between">
      <x:formula>70</x:formula>
    </x:cfRule>
    <x:cfRule type="cellIs" dxfId="194" priority="33" operator="lessThan">
      <x:formula>70</x:formula>
    </x:cfRule>
  </x:conditionalFormatting>
  <x:dataValidations count="11"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22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37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  <x:dataValidation type="list" sqref="D64">
      <x:formula1>"0,5,10,15,20,25,30,35,40,45,50,55,60,65,70,75,80,85,90,95,100"</x:formula1>
    </x:dataValidation>
    <x:dataValidation type="list" sqref="D65">
      <x:formula1>"0,5,10,15,20,25,30,35,40,45,50,55,60,65,70,75,80,85,90,95,100"</x:formula1>
    </x:dataValidation>
    <x:dataValidation type="list" sqref="D66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HELPER PRODUKSI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Operations</x:v>
      </x:c>
      <x:c r="C2" s="26" t="str">
        <x:v>KPI Code</x:v>
      </x:c>
      <x:c r="D2" s="16" t="str">
        <x:v>KPI-OPS-HLP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Kepala Produksi / Kepala Operator</x:v>
      </x:c>
      <x:c r="C3" s="26" t="str">
        <x:v>Headcount Reference</x:v>
      </x:c>
      <x:c r="D3" s="16" t="str">
        <x:v>Sesuai kapasitas</x:v>
      </x:c>
      <x:c r="E3" s="26" t="str">
        <x:v>Applicable KPI</x:v>
      </x:c>
      <x:c r="F3" s="16" t="n">
        <x:v>3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Dukungan Material &amp; Transfer WIP</x:v>
      </x:c>
      <x:c r="C7" s="68" t="n">
        <x:v>0.35</x:v>
      </x:c>
      <x:c r="D7" s="46" t="n">
        <x:f>B22</x:f>
        <x:v>0</x:v>
      </x:c>
      <x:c r="E7" s="46" t="n">
        <x:f>D22</x:f>
        <x:v>0</x:v>
      </x:c>
      <x:c r="F7" s="46" t="str">
        <x:f>F22</x:f>
        <x:v>Waiting for Input</x:v>
      </x:c>
      <x:c r="G7" s="16" t="str">
        <x:v>WI-OPS-009
Bukti: checklist support, tag batch, catatan bottleneck.</x:v>
      </x:c>
      <x:c r="H7" s="16" t="str">
        <x:v>RC-KPI-OPS-HLP-01</x:v>
      </x:c>
    </x:row>
    <x:row r="8" ht="36" customHeight="1">
      <x:c r="A8" s="16" t="n">
        <x:v>2</x:v>
      </x:c>
      <x:c r="B8" s="16" t="str">
        <x:v>Trimming, Cutting Pendukung &amp; Quality Check</x:v>
      </x:c>
      <x:c r="C8" s="68" t="n">
        <x:v>0.35</x:v>
      </x:c>
      <x:c r="D8" s="46" t="n">
        <x:f>B37</x:f>
        <x:v>0</x:v>
      </x:c>
      <x:c r="E8" s="46" t="n">
        <x:f>D37</x:f>
        <x:v>0</x:v>
      </x:c>
      <x:c r="F8" s="46" t="str">
        <x:f>F37</x:f>
        <x:v>Waiting for Input</x:v>
      </x:c>
      <x:c r="G8" s="16" t="str">
        <x:v>WI-OPS-009, WI-OPS-010
Bukti: area revisi, catatan handover, observasi Supervisor.</x:v>
      </x:c>
      <x:c r="H8" s="16" t="str">
        <x:v>RC-KPI-OPS-HLP-02</x:v>
      </x:c>
    </x:row>
    <x:row r="9" ht="36" customHeight="1">
      <x:c r="A9" s="16" t="n">
        <x:v>3</x:v>
      </x:c>
      <x:c r="B9" s="16" t="str">
        <x:v>5S, Kebersihan &amp; Penataan Alat</x:v>
      </x:c>
      <x:c r="C9" s="68" t="n">
        <x:v>0.3</x:v>
      </x:c>
      <x:c r="D9" s="46" t="n">
        <x:f>B52</x:f>
        <x:v>0</x:v>
      </x:c>
      <x:c r="E9" s="46" t="n">
        <x:f>D52</x:f>
        <x:v>0</x:v>
      </x:c>
      <x:c r="F9" s="46" t="str">
        <x:f>F52</x:f>
        <x:v>Waiting for Input</x:v>
      </x:c>
      <x:c r="G9" s="16" t="str">
        <x:v>WI-OPS-009
Bukti: checklist 5S, foto area, catatan temuan.</x:v>
      </x:c>
      <x:c r="H9" s="16" t="str">
        <x:v>RC-KPI-OPS-HLP-03</x:v>
      </x:c>
    </x:row>
    <x:row r="10">
      <x:c r="A10" s="62" t="str">
        <x:v>Overall Role Score</x:v>
      </x:c>
      <x:c r="B10" s="52"/>
      <x:c r="C10" s="26" t="str">
        <x:v>Total Weight</x:v>
      </x:c>
      <x:c r="D10" s="68" t="n">
        <x:f>SUM(C7:C9)</x:f>
        <x:v>1</x:v>
      </x:c>
      <x:c r="E10" s="46" t="str">
        <x:f>IF(COUNT(D19:D21,D34:D36,D49:D51)=0,"",SUM(E7:E9))</x:f>
      </x:c>
      <x:c r="F10" s="26" t="str">
        <x:v>Overall Status</x:v>
      </x:c>
      <x:c r="G10" s="46" t="str">
        <x:f>IF(COUNT(D19:D21,D34:D36,D49:D51)=0,"Waiting for Input",IF(E10&gt;=90,"On Track",IF(E10&gt;=80,"Good",IF(E10&gt;=70,"Need Improvement","Priority"))))</x:f>
        <x:v>Waiting for Input</x:v>
      </x:c>
      <x:c r="H10" s="52"/>
    </x:row>
    <x:row r="11" ht="22" customHeight="1">
      <x:c r="A11" s="16" t="str">
        <x:v>Fill yellow cells only. Score output is calculated from the average Achievement % of KPI details in each card.</x:v>
      </x:c>
      <x:c r="B11" s="52"/>
      <x:c r="C11" s="52"/>
      <x:c r="D11" s="52"/>
      <x:c r="E11" s="52"/>
      <x:c r="F11" s="52"/>
      <x:c r="G11" s="52"/>
      <x:c r="H11" s="52"/>
    </x:row>
    <x:row r="12" ht="24" customHeight="1">
      <x:c r="A12" s="62" t="str">
        <x:v>RC-KPI-OPS-HLP-01 — Dukungan Material &amp; Transfer WIP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26" t="str">
        <x:v>KPI / Phase</x:v>
      </x:c>
      <x:c r="B13" s="16" t="str">
        <x:v>Dukungan Material &amp; Transfer WIP</x:v>
      </x:c>
      <x:c r="C13" s="52"/>
      <x:c r="D13" s="52"/>
      <x:c r="E13" s="52"/>
      <x:c r="F13" s="52"/>
      <x:c r="G13" s="52"/>
      <x:c r="H13" s="52"/>
    </x:row>
    <x:row r="14" ht="30" customHeight="1">
      <x:c r="A14" s="26" t="str">
        <x:v>Adjusted Weight</x:v>
      </x:c>
      <x:c r="B14" s="68" t="n">
        <x:v>0.35</x:v>
      </x:c>
      <x:c r="C14" s="26" t="str">
        <x:v>WI Reference</x:v>
      </x:c>
      <x:c r="D14" s="16" t="str">
        <x:v>WI-OPS-009
Bukti: checklist support, tag batch, catatan bottleneck.</x:v>
      </x:c>
      <x:c r="E14" s="52"/>
      <x:c r="F14" s="52"/>
      <x:c r="G14" s="52"/>
      <x:c r="H14" s="52"/>
    </x:row>
    <x:row r="15" ht="36" customHeight="1">
      <x:c r="A15" s="26" t="str">
        <x:v>Objective</x:v>
      </x:c>
      <x:c r="B15" s="16" t="str">
        <x:v>Menyediakan material dan memindahkan barang antarstasiun secara cepat agar operator tidak kehilangan waktu proses inti.</x:v>
      </x:c>
      <x:c r="C15" s="52"/>
      <x:c r="D15" s="52"/>
      <x:c r="E15" s="52"/>
      <x:c r="F15" s="52"/>
      <x:c r="G15" s="52"/>
      <x:c r="H15" s="52"/>
    </x:row>
    <x:row r="16" ht="32" customHeight="1">
      <x:c r="A16" s="26" t="str">
        <x:v>Target Baseline</x:v>
      </x:c>
      <x:c r="B16" s="16" t="str">
        <x:v>100% support sesuai arahan; 0 bottleneck akibat handling; 100% batch beridentitas.</x:v>
      </x:c>
      <x:c r="C16" s="52"/>
      <x:c r="D16" s="52"/>
      <x:c r="E16" s="52"/>
      <x:c r="F16" s="52"/>
      <x:c r="G16" s="52"/>
      <x:c r="H16" s="52"/>
    </x:row>
    <x:row r="17">
      <x:c r="A17" s="52"/>
      <x:c r="B17" s="52"/>
      <x:c r="C17" s="52"/>
      <x:c r="D17" s="52"/>
      <x:c r="E17" s="52"/>
      <x:c r="F17" s="52"/>
      <x:c r="G17" s="52"/>
      <x:c r="H17" s="52"/>
    </x:row>
    <x:row r="18" ht="36" customHeight="1">
      <x:c r="A18" s="36" t="str">
        <x:v>No.</x:v>
      </x:c>
      <x:c r="B18" s="36" t="str">
        <x:v>KPI Detail / What to Check</x:v>
      </x:c>
      <x:c r="C18" s="36" t="str">
        <x:v>Actual Result</x:v>
      </x:c>
      <x:c r="D18" s="36" t="str">
        <x:v>Achievement %
(0–100)</x:v>
      </x:c>
      <x:c r="E18" s="36" t="str">
        <x:v>Evidence / Proof</x:v>
      </x:c>
      <x:c r="F18" s="36" t="str">
        <x:v>Status</x:v>
      </x:c>
      <x:c r="G18" s="36" t="str">
        <x:v>Issue / Root Cause</x:v>
      </x:c>
      <x:c r="H18" s="36" t="str">
        <x:v>Action / Follow-up</x:v>
      </x:c>
    </x:row>
    <x:row r="19" ht="52" customHeight="1">
      <x:c r="A19" s="16" t="n">
        <x:v>1</x:v>
      </x:c>
      <x:c r="B19" s="16" t="str">
        <x:v>100% kebutuhan material pendukung disiapkan sesuai arahan WO/Operator.</x:v>
      </x:c>
      <x:c r="C19" s="54" t="str"/>
      <x:c r="D19" s="54" t="str"/>
      <x:c r="E19" s="54" t="str"/>
      <x:c r="F19" s="46" t="str">
        <x:f>IF(D19="","",IF(D19&gt;=90,"On Track",IF(D19&gt;=80,"Good",IF(D19&gt;=70,"Need Improvement","Priority"))))</x:f>
      </x:c>
      <x:c r="G19" s="54" t="str"/>
      <x:c r="H19" s="54" t="str"/>
    </x:row>
    <x:row r="20" ht="52" customHeight="1">
      <x:c r="A20" s="16" t="n">
        <x:v>2</x:v>
      </x:c>
      <x:c r="B20" s="16" t="str">
        <x:v>0 WIP tertahan akibat kelalaian material handling.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3</x:v>
      </x:c>
      <x:c r="B21" s="16" t="str">
        <x:v>Transfer antarstasiun dilakukan dengan identitas batch yang jelas.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>
      <x:c r="A22" s="26" t="str">
        <x:v>Card Score</x:v>
      </x:c>
      <x:c r="B22" s="46" t="str">
        <x:f>IF(COUNT(D19:D21)=0,"",AVERAGE(D19:D21))</x:f>
      </x:c>
      <x:c r="C22" s="26" t="str">
        <x:v>Weighted Score</x:v>
      </x:c>
      <x:c r="D22" s="46" t="str">
        <x:f>IF(B22="","",B22*$B$14)</x:f>
      </x:c>
      <x:c r="E22" s="26" t="str">
        <x:v>Card Status</x:v>
      </x:c>
      <x:c r="F22" s="46" t="str">
        <x:f>IF(COUNT(D19:D21)=0,"Waiting for Input",IF(B22&gt;=90,"On Track",IF(B22&gt;=80,"Good",IF(B22&gt;=70,"Need Improvement","Priority"))))</x:f>
        <x:v>Waiting for Input</x:v>
      </x:c>
      <x:c r="G22" s="52"/>
      <x:c r="H22" s="52"/>
    </x:row>
    <x:row r="23" ht="34" customHeight="1">
      <x:c r="A23" s="26" t="str">
        <x:v>Overall Root Cause / Key Finding</x:v>
      </x:c>
      <x:c r="B23" s="54" t="str"/>
      <x:c r="C23" s="52"/>
      <x:c r="D23" s="52"/>
      <x:c r="E23" s="52"/>
      <x:c r="F23" s="52"/>
      <x:c r="G23" s="52"/>
      <x:c r="H23" s="52"/>
    </x:row>
    <x:row r="24" ht="34" customHeight="1">
      <x:c r="A24" s="26" t="str">
        <x:v>Action Plan, PIC &amp; Due Date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Reviewer Note</x:v>
      </x:c>
      <x:c r="B25" s="54" t="str"/>
      <x:c r="C25" s="52"/>
      <x:c r="D25" s="52"/>
      <x:c r="E25" s="52"/>
      <x:c r="F25" s="52"/>
      <x:c r="G25" s="52"/>
      <x:c r="H25" s="52"/>
    </x:row>
    <x:row r="26">
      <x:c r="A26" s="52"/>
      <x:c r="B26" s="52"/>
      <x:c r="C26" s="52"/>
      <x:c r="D26" s="52"/>
      <x:c r="E26" s="52"/>
      <x:c r="F26" s="52"/>
      <x:c r="G26" s="52"/>
      <x:c r="H26" s="52"/>
    </x:row>
    <x:row r="27" ht="24" customHeight="1">
      <x:c r="A27" s="62" t="str">
        <x:v>RC-KPI-OPS-HLP-02 — Trimming, Cutting Pendukung &amp; Quality Check</x:v>
      </x:c>
      <x:c r="B27" s="52"/>
      <x:c r="C27" s="52"/>
      <x:c r="D27" s="52"/>
      <x:c r="E27" s="52"/>
      <x:c r="F27" s="52"/>
      <x:c r="G27" s="52"/>
      <x:c r="H27" s="52"/>
    </x:row>
    <x:row r="28" ht="24" customHeight="1">
      <x:c r="A28" s="26" t="str">
        <x:v>KPI / Phase</x:v>
      </x:c>
      <x:c r="B28" s="16" t="str">
        <x:v>Trimming, Cutting Pendukung &amp; Quality Check</x:v>
      </x:c>
      <x:c r="C28" s="52"/>
      <x:c r="D28" s="52"/>
      <x:c r="E28" s="52"/>
      <x:c r="F28" s="52"/>
      <x:c r="G28" s="52"/>
      <x:c r="H28" s="52"/>
    </x:row>
    <x:row r="29" ht="30" customHeight="1">
      <x:c r="A29" s="26" t="str">
        <x:v>Adjusted Weight</x:v>
      </x:c>
      <x:c r="B29" s="68" t="n">
        <x:v>0.35</x:v>
      </x:c>
      <x:c r="C29" s="26" t="str">
        <x:v>WI Reference</x:v>
      </x:c>
      <x:c r="D29" s="16" t="str">
        <x:v>WI-OPS-009, WI-OPS-010
Bukti: area revisi, catatan handover, observasi Supervisor.</x:v>
      </x:c>
      <x:c r="E29" s="52"/>
      <x:c r="F29" s="52"/>
      <x:c r="G29" s="52"/>
      <x:c r="H29" s="52"/>
    </x:row>
    <x:row r="30" ht="36" customHeight="1">
      <x:c r="A30" s="26" t="str">
        <x:v>Objective</x:v>
      </x:c>
      <x:c r="B30" s="16" t="str">
        <x:v>Menjaga hasil pendukung rapi dan menangkap cacat jelas sebelum produk masuk proses berikutnya.</x:v>
      </x:c>
      <x:c r="C30" s="52"/>
      <x:c r="D30" s="52"/>
      <x:c r="E30" s="52"/>
      <x:c r="F30" s="52"/>
      <x:c r="G30" s="52"/>
      <x:c r="H30" s="52"/>
    </x:row>
    <x:row r="31" ht="32" customHeight="1">
      <x:c r="A31" s="26" t="str">
        <x:v>Target Baseline</x:v>
      </x:c>
      <x:c r="B31" s="16" t="str">
        <x:v>100% quick check; 0 cacat jelas lolos; 100% barang bermasalah dipisah.</x:v>
      </x:c>
      <x:c r="C31" s="52"/>
      <x:c r="D31" s="52"/>
      <x:c r="E31" s="52"/>
      <x:c r="F31" s="52"/>
      <x:c r="G31" s="52"/>
      <x:c r="H31" s="52"/>
    </x:row>
    <x:row r="32">
      <x:c r="A32" s="52"/>
      <x:c r="B32" s="52"/>
      <x:c r="C32" s="52"/>
      <x:c r="D32" s="52"/>
      <x:c r="E32" s="52"/>
      <x:c r="F32" s="52"/>
      <x:c r="G32" s="52"/>
      <x:c r="H32" s="52"/>
    </x:row>
    <x:row r="33" ht="36" customHeight="1">
      <x:c r="A33" s="36" t="str">
        <x:v>No.</x:v>
      </x:c>
      <x:c r="B33" s="36" t="str">
        <x:v>KPI Detail / What to Check</x:v>
      </x:c>
      <x:c r="C33" s="36" t="str">
        <x:v>Actual Result</x:v>
      </x:c>
      <x:c r="D33" s="36" t="str">
        <x:v>Achievement %
(0–100)</x:v>
      </x:c>
      <x:c r="E33" s="36" t="str">
        <x:v>Evidence / Proof</x:v>
      </x:c>
      <x:c r="F33" s="36" t="str">
        <x:v>Status</x:v>
      </x:c>
      <x:c r="G33" s="36" t="str">
        <x:v>Issue / Root Cause</x:v>
      </x:c>
      <x:c r="H33" s="36" t="str">
        <x:v>Action / Follow-up</x:v>
      </x:c>
    </x:row>
    <x:row r="34" ht="52" customHeight="1">
      <x:c r="A34" s="16" t="n">
        <x:v>1</x:v>
      </x:c>
      <x:c r="B34" s="16" t="str">
        <x:v>100% hasil trimming/cutting diperiksa cepat sebelum handover.</x:v>
      </x:c>
      <x:c r="C34" s="54" t="str"/>
      <x:c r="D34" s="54" t="str"/>
      <x:c r="E34" s="54" t="str"/>
      <x:c r="F34" s="46" t="str">
        <x:f>IF(D34="","",IF(D34&gt;=90,"On Track",IF(D34&gt;=80,"Good",IF(D34&gt;=70,"Need Improvement","Priority"))))</x:f>
      </x:c>
      <x:c r="G34" s="54" t="str"/>
      <x:c r="H34" s="54" t="str"/>
    </x:row>
    <x:row r="35" ht="52" customHeight="1">
      <x:c r="A35" s="16" t="n">
        <x:v>2</x:v>
      </x:c>
      <x:c r="B35" s="16" t="str">
        <x:v>0 barang dengan cacat visual jelas diteruskan sebagai barang OK.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3</x:v>
      </x:c>
      <x:c r="B36" s="16" t="str">
        <x:v>Barang bermasalah dipisahkan ke area revisi.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>
      <x:c r="A37" s="26" t="str">
        <x:v>Card Score</x:v>
      </x:c>
      <x:c r="B37" s="46" t="str">
        <x:f>IF(COUNT(D34:D36)=0,"",AVERAGE(D34:D36))</x:f>
      </x:c>
      <x:c r="C37" s="26" t="str">
        <x:v>Weighted Score</x:v>
      </x:c>
      <x:c r="D37" s="46" t="str">
        <x:f>IF(B37="","",B37*$B$29)</x:f>
      </x:c>
      <x:c r="E37" s="26" t="str">
        <x:v>Card Status</x:v>
      </x:c>
      <x:c r="F37" s="46" t="str">
        <x:f>IF(COUNT(D34:D36)=0,"Waiting for Input",IF(B37&gt;=90,"On Track",IF(B37&gt;=80,"Good",IF(B37&gt;=70,"Need Improvement","Priority"))))</x:f>
        <x:v>Waiting for Input</x:v>
      </x:c>
      <x:c r="G37" s="52"/>
      <x:c r="H37" s="52"/>
    </x:row>
    <x:row r="38" ht="34" customHeight="1">
      <x:c r="A38" s="26" t="str">
        <x:v>Overall Root Cause / Key Finding</x:v>
      </x:c>
      <x:c r="B38" s="54" t="str"/>
      <x:c r="C38" s="52"/>
      <x:c r="D38" s="52"/>
      <x:c r="E38" s="52"/>
      <x:c r="F38" s="52"/>
      <x:c r="G38" s="52"/>
      <x:c r="H38" s="52"/>
    </x:row>
    <x:row r="39" ht="34" customHeight="1">
      <x:c r="A39" s="26" t="str">
        <x:v>Action Plan, PIC &amp; Due Date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Reviewer Note</x:v>
      </x:c>
      <x:c r="B40" s="54" t="str"/>
      <x:c r="C40" s="52"/>
      <x:c r="D40" s="52"/>
      <x:c r="E40" s="52"/>
      <x:c r="F40" s="52"/>
      <x:c r="G40" s="52"/>
      <x:c r="H40" s="52"/>
    </x:row>
    <x:row r="41">
      <x:c r="A41" s="52"/>
      <x:c r="B41" s="52"/>
      <x:c r="C41" s="52"/>
      <x:c r="D41" s="52"/>
      <x:c r="E41" s="52"/>
      <x:c r="F41" s="52"/>
      <x:c r="G41" s="52"/>
      <x:c r="H41" s="52"/>
    </x:row>
    <x:row r="42" ht="24" customHeight="1">
      <x:c r="A42" s="62" t="str">
        <x:v>RC-KPI-OPS-HLP-03 — 5S, Kebersihan &amp; Penataan Alat</x:v>
      </x:c>
      <x:c r="B42" s="52"/>
      <x:c r="C42" s="52"/>
      <x:c r="D42" s="52"/>
      <x:c r="E42" s="52"/>
      <x:c r="F42" s="52"/>
      <x:c r="G42" s="52"/>
      <x:c r="H42" s="52"/>
    </x:row>
    <x:row r="43" ht="24" customHeight="1">
      <x:c r="A43" s="26" t="str">
        <x:v>KPI / Phase</x:v>
      </x:c>
      <x:c r="B43" s="16" t="str">
        <x:v>5S, Kebersihan &amp; Penataan Alat</x:v>
      </x:c>
      <x:c r="C43" s="52"/>
      <x:c r="D43" s="52"/>
      <x:c r="E43" s="52"/>
      <x:c r="F43" s="52"/>
      <x:c r="G43" s="52"/>
      <x:c r="H43" s="52"/>
    </x:row>
    <x:row r="44" ht="30" customHeight="1">
      <x:c r="A44" s="26" t="str">
        <x:v>Adjusted Weight</x:v>
      </x:c>
      <x:c r="B44" s="68" t="n">
        <x:v>0.3</x:v>
      </x:c>
      <x:c r="C44" s="26" t="str">
        <x:v>WI Reference</x:v>
      </x:c>
      <x:c r="D44" s="16" t="str">
        <x:v>WI-OPS-009
Bukti: checklist 5S, foto area, catatan temuan.</x:v>
      </x:c>
      <x:c r="E44" s="52"/>
      <x:c r="F44" s="52"/>
      <x:c r="G44" s="52"/>
      <x:c r="H44" s="52"/>
    </x:row>
    <x:row r="45" ht="36" customHeight="1">
      <x:c r="A45" s="26" t="str">
        <x:v>Objective</x:v>
      </x:c>
      <x:c r="B45" s="16" t="str">
        <x:v>Menjaga area kerja, alat, dan limbah produksi sesuai prinsip 5S agar aman dan siap digunakan.</x:v>
      </x:c>
      <x:c r="C45" s="52"/>
      <x:c r="D45" s="52"/>
      <x:c r="E45" s="52"/>
      <x:c r="F45" s="52"/>
      <x:c r="G45" s="52"/>
      <x:c r="H45" s="52"/>
    </x:row>
    <x:row r="46" ht="32" customHeight="1">
      <x:c r="A46" s="26" t="str">
        <x:v>Target Baseline</x:v>
      </x:c>
      <x:c r="B46" s="16" t="str">
        <x:v>100% checklist 5S; 0 temuan alat/area terbuka.</x:v>
      </x:c>
      <x:c r="C46" s="52"/>
      <x:c r="D46" s="52"/>
      <x:c r="E46" s="52"/>
      <x:c r="F46" s="52"/>
      <x:c r="G46" s="52"/>
      <x:c r="H46" s="52"/>
    </x:row>
    <x:row r="47">
      <x:c r="A47" s="52"/>
      <x:c r="B47" s="52"/>
      <x:c r="C47" s="52"/>
      <x:c r="D47" s="52"/>
      <x:c r="E47" s="52"/>
      <x:c r="F47" s="52"/>
      <x:c r="G47" s="52"/>
      <x:c r="H47" s="52"/>
    </x:row>
    <x:row r="48" ht="36" customHeight="1">
      <x:c r="A48" s="36" t="str">
        <x:v>No.</x:v>
      </x:c>
      <x:c r="B48" s="36" t="str">
        <x:v>KPI Detail / What to Check</x:v>
      </x:c>
      <x:c r="C48" s="36" t="str">
        <x:v>Actual Result</x:v>
      </x:c>
      <x:c r="D48" s="36" t="str">
        <x:v>Achievement %
(0–100)</x:v>
      </x:c>
      <x:c r="E48" s="36" t="str">
        <x:v>Evidence / Proof</x:v>
      </x:c>
      <x:c r="F48" s="36" t="str">
        <x:v>Status</x:v>
      </x:c>
      <x:c r="G48" s="36" t="str">
        <x:v>Issue / Root Cause</x:v>
      </x:c>
      <x:c r="H48" s="36" t="str">
        <x:v>Action / Follow-up</x:v>
      </x:c>
    </x:row>
    <x:row r="49" ht="52" customHeight="1">
      <x:c r="A49" s="16" t="n">
        <x:v>1</x:v>
      </x:c>
      <x:c r="B49" s="16" t="str">
        <x:v>Checklist 5S selesai setiap shift.</x:v>
      </x:c>
      <x:c r="C49" s="54" t="str"/>
      <x:c r="D49" s="54" t="str"/>
      <x:c r="E49" s="54" t="str"/>
      <x:c r="F49" s="46" t="str">
        <x:f>IF(D49="","",IF(D49&gt;=90,"On Track",IF(D49&gt;=80,"Good",IF(D49&gt;=70,"Need Improvement","Priority"))))</x:f>
      </x:c>
      <x:c r="G49" s="54" t="str"/>
      <x:c r="H49" s="54" t="str"/>
    </x:row>
    <x:row r="50" ht="52" customHeight="1">
      <x:c r="A50" s="16" t="n">
        <x:v>2</x:v>
      </x:c>
      <x:c r="B50" s="16" t="str">
        <x:v>0 alat kerja tertinggal/berserakan pada akhir shift.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3</x:v>
      </x:c>
      <x:c r="B51" s="16" t="str">
        <x:v>Limbah dipilah sesuai kategori dan area kerja bersih saat pergantian batch.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>
      <x:c r="A52" s="26" t="str">
        <x:v>Card Score</x:v>
      </x:c>
      <x:c r="B52" s="46" t="str">
        <x:f>IF(COUNT(D49:D51)=0,"",AVERAGE(D49:D51))</x:f>
      </x:c>
      <x:c r="C52" s="26" t="str">
        <x:v>Weighted Score</x:v>
      </x:c>
      <x:c r="D52" s="46" t="str">
        <x:f>IF(B52="","",B52*$B$44)</x:f>
      </x:c>
      <x:c r="E52" s="26" t="str">
        <x:v>Card Status</x:v>
      </x:c>
      <x:c r="F52" s="46" t="str">
        <x:f>IF(COUNT(D49:D51)=0,"Waiting for Input",IF(B52&gt;=90,"On Track",IF(B52&gt;=80,"Good",IF(B52&gt;=70,"Need Improvement","Priority"))))</x:f>
        <x:v>Waiting for Input</x:v>
      </x:c>
      <x:c r="G52" s="52"/>
      <x:c r="H52" s="52"/>
    </x:row>
    <x:row r="53" ht="34" customHeight="1">
      <x:c r="A53" s="26" t="str">
        <x:v>Overall Root Cause / Key Finding</x:v>
      </x:c>
      <x:c r="B53" s="54" t="str"/>
      <x:c r="C53" s="52"/>
      <x:c r="D53" s="52"/>
      <x:c r="E53" s="52"/>
      <x:c r="F53" s="52"/>
      <x:c r="G53" s="52"/>
      <x:c r="H53" s="52"/>
    </x:row>
    <x:row r="54" ht="34" customHeight="1">
      <x:c r="A54" s="26" t="str">
        <x:v>Action Plan, PIC &amp; Due Date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Reviewer Note</x:v>
      </x:c>
      <x:c r="B55" s="54" t="str"/>
      <x:c r="C55" s="52"/>
      <x:c r="D55" s="52"/>
      <x:c r="E55" s="52"/>
      <x:c r="F55" s="52"/>
      <x:c r="G55" s="52"/>
      <x:c r="H55" s="52"/>
    </x:row>
    <x:row r="56">
      <x:c r="A56" s="52"/>
      <x:c r="B56" s="52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</x:sheetData>
  <x:mergeCells>
    <x:mergeCell ref="A1:H1"/>
    <x:mergeCell ref="A5:H5"/>
    <x:mergeCell ref="A12:H12"/>
    <x:mergeCell ref="B13:H13"/>
    <x:mergeCell ref="D14:H14"/>
    <x:mergeCell ref="B15:H15"/>
    <x:mergeCell ref="B16:H16"/>
    <x:mergeCell ref="F22:H22"/>
    <x:mergeCell ref="B23:H23"/>
    <x:mergeCell ref="B24:H24"/>
    <x:mergeCell ref="B25:H25"/>
    <x:mergeCell ref="A27:H27"/>
    <x:mergeCell ref="B28:H28"/>
    <x:mergeCell ref="D29:H29"/>
    <x:mergeCell ref="B30:H30"/>
    <x:mergeCell ref="B31:H31"/>
    <x:mergeCell ref="F37:H37"/>
    <x:mergeCell ref="B38:H38"/>
    <x:mergeCell ref="B39:H39"/>
    <x:mergeCell ref="B40:H40"/>
    <x:mergeCell ref="A42:H42"/>
    <x:mergeCell ref="B43:H43"/>
    <x:mergeCell ref="D44:H44"/>
    <x:mergeCell ref="B45:H45"/>
    <x:mergeCell ref="B46:H46"/>
    <x:mergeCell ref="F52:H52"/>
    <x:mergeCell ref="B53:H53"/>
    <x:mergeCell ref="B54:H54"/>
    <x:mergeCell ref="B55:H55"/>
    <x:mergeCell ref="A10:B10"/>
    <x:mergeCell ref="G10:H10"/>
    <x:mergeCell ref="A11:H11"/>
  </x:mergeCells>
  <x:conditionalFormatting sqref="D19:D19">
    <x:cfRule type="cellIs" dxfId="195" priority="1" operator="greaterThanOrEqual">
      <x:formula>90</x:formula>
    </x:cfRule>
    <x:cfRule type="cellIs" dxfId="196" priority="2" operator="between">
      <x:formula>70</x:formula>
    </x:cfRule>
    <x:cfRule type="cellIs" dxfId="197" priority="3" operator="lessThan">
      <x:formula>70</x:formula>
    </x:cfRule>
  </x:conditionalFormatting>
  <x:conditionalFormatting sqref="D20:D20">
    <x:cfRule type="cellIs" dxfId="198" priority="4" operator="greaterThanOrEqual">
      <x:formula>90</x:formula>
    </x:cfRule>
    <x:cfRule type="cellIs" dxfId="199" priority="5" operator="between">
      <x:formula>70</x:formula>
    </x:cfRule>
    <x:cfRule type="cellIs" dxfId="200" priority="6" operator="lessThan">
      <x:formula>70</x:formula>
    </x:cfRule>
  </x:conditionalFormatting>
  <x:conditionalFormatting sqref="D21:D21">
    <x:cfRule type="cellIs" dxfId="201" priority="7" operator="greaterThanOrEqual">
      <x:formula>90</x:formula>
    </x:cfRule>
    <x:cfRule type="cellIs" dxfId="202" priority="8" operator="between">
      <x:formula>70</x:formula>
    </x:cfRule>
    <x:cfRule type="cellIs" dxfId="203" priority="9" operator="lessThan">
      <x:formula>70</x:formula>
    </x:cfRule>
  </x:conditionalFormatting>
  <x:conditionalFormatting sqref="D34:D34">
    <x:cfRule type="cellIs" dxfId="204" priority="10" operator="greaterThanOrEqual">
      <x:formula>90</x:formula>
    </x:cfRule>
    <x:cfRule type="cellIs" dxfId="205" priority="11" operator="between">
      <x:formula>70</x:formula>
    </x:cfRule>
    <x:cfRule type="cellIs" dxfId="206" priority="12" operator="lessThan">
      <x:formula>70</x:formula>
    </x:cfRule>
  </x:conditionalFormatting>
  <x:conditionalFormatting sqref="D35:D35">
    <x:cfRule type="cellIs" dxfId="207" priority="13" operator="greaterThanOrEqual">
      <x:formula>90</x:formula>
    </x:cfRule>
    <x:cfRule type="cellIs" dxfId="208" priority="14" operator="between">
      <x:formula>70</x:formula>
    </x:cfRule>
    <x:cfRule type="cellIs" dxfId="209" priority="15" operator="lessThan">
      <x:formula>70</x:formula>
    </x:cfRule>
  </x:conditionalFormatting>
  <x:conditionalFormatting sqref="D36:D36">
    <x:cfRule type="cellIs" dxfId="210" priority="16" operator="greaterThanOrEqual">
      <x:formula>90</x:formula>
    </x:cfRule>
    <x:cfRule type="cellIs" dxfId="211" priority="17" operator="between">
      <x:formula>70</x:formula>
    </x:cfRule>
    <x:cfRule type="cellIs" dxfId="212" priority="18" operator="lessThan">
      <x:formula>70</x:formula>
    </x:cfRule>
  </x:conditionalFormatting>
  <x:conditionalFormatting sqref="D49:D49">
    <x:cfRule type="cellIs" dxfId="213" priority="19" operator="greaterThanOrEqual">
      <x:formula>90</x:formula>
    </x:cfRule>
    <x:cfRule type="cellIs" dxfId="214" priority="20" operator="between">
      <x:formula>70</x:formula>
    </x:cfRule>
    <x:cfRule type="cellIs" dxfId="215" priority="21" operator="lessThan">
      <x:formula>70</x:formula>
    </x:cfRule>
  </x:conditionalFormatting>
  <x:conditionalFormatting sqref="D50:D50">
    <x:cfRule type="cellIs" dxfId="216" priority="22" operator="greaterThanOrEqual">
      <x:formula>90</x:formula>
    </x:cfRule>
    <x:cfRule type="cellIs" dxfId="217" priority="23" operator="between">
      <x:formula>70</x:formula>
    </x:cfRule>
    <x:cfRule type="cellIs" dxfId="218" priority="24" operator="lessThan">
      <x:formula>70</x:formula>
    </x:cfRule>
  </x:conditionalFormatting>
  <x:conditionalFormatting sqref="D51:D51">
    <x:cfRule type="cellIs" dxfId="219" priority="25" operator="greaterThanOrEqual">
      <x:formula>90</x:formula>
    </x:cfRule>
    <x:cfRule type="cellIs" dxfId="220" priority="26" operator="between">
      <x:formula>70</x:formula>
    </x:cfRule>
    <x:cfRule type="cellIs" dxfId="221" priority="27" operator="lessThan">
      <x:formula>70</x:formula>
    </x:cfRule>
  </x:conditionalFormatting>
  <x:dataValidations count="9">
    <x:dataValidation type="list" sqref="D19">
      <x:formula1>"0,5,10,15,20,25,30,35,40,45,50,55,60,65,70,75,80,85,90,95,100"</x:formula1>
    </x:dataValidation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34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49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KEPALA SALES &amp; MARKETING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Sales &amp; Marketing</x:v>
      </x:c>
      <x:c r="C2" s="26" t="str">
        <x:v>KPI Code</x:v>
      </x:c>
      <x:c r="D2" s="16" t="str">
        <x:v>KPI-SM-HEAD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Manajer / Owner</x:v>
      </x:c>
      <x:c r="C3" s="26" t="str">
        <x:v>Headcount Reference</x:v>
      </x:c>
      <x:c r="D3" s="16" t="str">
        <x:v>1</x:v>
      </x:c>
      <x:c r="E3" s="26" t="str">
        <x:v>Applicable KPI</x:v>
      </x:c>
      <x:c r="F3" s="16" t="n">
        <x:v>4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Pencapaian Target Komersial &amp; Pipeline</x:v>
      </x:c>
      <x:c r="C7" s="68" t="n">
        <x:v>0.35</x:v>
      </x:c>
      <x:c r="D7" s="46" t="n">
        <x:f>B23</x:f>
        <x:v>0</x:v>
      </x:c>
      <x:c r="E7" s="46" t="n">
        <x:f>D23</x:f>
        <x:v>0</x:v>
      </x:c>
      <x:c r="F7" s="46" t="str">
        <x:f>F23</x:f>
        <x:v>Waiting for Input</x:v>
      </x:c>
      <x:c r="G7" s="16" t="str">
        <x:v>WI-SM-014
Bukti: sales pipeline, rekap omzet/leads, action plan.</x:v>
      </x:c>
      <x:c r="H7" s="16" t="str">
        <x:v>RC-KPI-SM-HEAD-01</x:v>
      </x:c>
    </x:row>
    <x:row r="8" ht="36" customHeight="1">
      <x:c r="A8" s="16" t="n">
        <x:v>2</x:v>
      </x:c>
      <x:c r="B8" s="16" t="str">
        <x:v>Strategi Campaign &amp; Pemasaran Digital</x:v>
      </x:c>
      <x:c r="C8" s="68" t="n">
        <x:v>0.25</x:v>
      </x:c>
      <x:c r="D8" s="46" t="n">
        <x:f>B38</x:f>
        <x:v>0</x:v>
      </x:c>
      <x:c r="E8" s="46" t="n">
        <x:f>D38</x:f>
        <x:v>0</x:v>
      </x:c>
      <x:c r="F8" s="46" t="str">
        <x:f>F38</x:f>
        <x:v>Waiting for Input</x:v>
      </x:c>
      <x:c r="G8" s="16" t="str">
        <x:v>WI-SM-002, WI-SM-004, WI-SM-014
Bukti: campaign plan, laporan ads, evaluasi campaign.</x:v>
      </x:c>
      <x:c r="H8" s="16" t="str">
        <x:v>RC-KPI-SM-HEAD-02</x:v>
      </x:c>
    </x:row>
    <x:row r="9" ht="36" customHeight="1">
      <x:c r="A9" s="16" t="n">
        <x:v>3</x:v>
      </x:c>
      <x:c r="B9" s="16" t="str">
        <x:v>Sinkronisasi Order ke Operations</x:v>
      </x:c>
      <x:c r="C9" s="68" t="n">
        <x:v>0.25</x:v>
      </x:c>
      <x:c r="D9" s="46" t="n">
        <x:f>B53</x:f>
        <x:v>0</x:v>
      </x:c>
      <x:c r="E9" s="46" t="n">
        <x:f>D53</x:f>
        <x:v>0</x:v>
      </x:c>
      <x:c r="F9" s="46" t="str">
        <x:f>F53</x:f>
        <x:v>Waiting for Input</x:v>
      </x:c>
      <x:c r="G9" s="16" t="str">
        <x:v>WI-SM-008, WI-SM-009, WI-SM-014
Bukti: form order, tracker handover, notulen kapasitas.</x:v>
      </x:c>
      <x:c r="H9" s="16" t="str">
        <x:v>RC-KPI-SM-HEAD-03</x:v>
      </x:c>
    </x:row>
    <x:row r="10" ht="36" customHeight="1">
      <x:c r="A10" s="16" t="n">
        <x:v>4</x:v>
      </x:c>
      <x:c r="B10" s="16" t="str">
        <x:v>Manajemen Tim &amp; Pelaporan KPI</x:v>
      </x:c>
      <x:c r="C10" s="68" t="n">
        <x:v>0.15</x:v>
      </x:c>
      <x:c r="D10" s="46" t="n">
        <x:f>B68</x:f>
        <x:v>0</x:v>
      </x:c>
      <x:c r="E10" s="46" t="n">
        <x:f>D68</x:f>
        <x:v>0</x:v>
      </x:c>
      <x:c r="F10" s="46" t="str">
        <x:f>F68</x:f>
        <x:v>Waiting for Input</x:v>
      </x:c>
      <x:c r="G10" s="16" t="str">
        <x:v>WI-SM-014
Bukti: notulen, scorecard tim, laporan KPI bulanan.</x:v>
      </x:c>
      <x:c r="H10" s="16" t="str">
        <x:v>RC-KPI-SM-HEAD-04</x:v>
      </x:c>
    </x:row>
    <x:row r="11">
      <x:c r="A11" s="62" t="str">
        <x:v>Overall Role Score</x:v>
      </x:c>
      <x:c r="B11" s="52"/>
      <x:c r="C11" s="26" t="str">
        <x:v>Total Weight</x:v>
      </x:c>
      <x:c r="D11" s="68" t="n">
        <x:f>SUM(C7:C10)</x:f>
        <x:v>1</x:v>
      </x:c>
      <x:c r="E11" s="46" t="str">
        <x:f>IF(COUNT(D20:D22,D35:D37,D50:D52,D65:D67)=0,"",SUM(E7:E10))</x:f>
      </x:c>
      <x:c r="F11" s="26" t="str">
        <x:v>Overall Status</x:v>
      </x:c>
      <x:c r="G11" s="46" t="str">
        <x:f>IF(COUNT(D20:D22,D35:D37,D50:D52,D65:D67)=0,"Waiting for Input",IF(E11&gt;=90,"On Track",IF(E11&gt;=80,"Good",IF(E11&gt;=70,"Need Improvement","Priority"))))</x:f>
        <x:v>Waiting for Input</x:v>
      </x:c>
      <x:c r="H11" s="52"/>
    </x:row>
    <x:row r="12" ht="22" customHeight="1">
      <x:c r="A12" s="16" t="str">
        <x:v>Fill yellow cells only. Score output is calculated from the average Achievement % of KPI details in each card.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62" t="str">
        <x:v>RC-KPI-SM-HEAD-01 — Pencapaian Target Komersial &amp; Pipeline</x:v>
      </x:c>
      <x:c r="B13" s="52"/>
      <x:c r="C13" s="52"/>
      <x:c r="D13" s="52"/>
      <x:c r="E13" s="52"/>
      <x:c r="F13" s="52"/>
      <x:c r="G13" s="52"/>
      <x:c r="H13" s="52"/>
    </x:row>
    <x:row r="14" ht="24" customHeight="1">
      <x:c r="A14" s="26" t="str">
        <x:v>KPI / Phase</x:v>
      </x:c>
      <x:c r="B14" s="16" t="str">
        <x:v>Pencapaian Target Komersial &amp; Pipeline</x:v>
      </x:c>
      <x:c r="C14" s="52"/>
      <x:c r="D14" s="52"/>
      <x:c r="E14" s="52"/>
      <x:c r="F14" s="52"/>
      <x:c r="G14" s="52"/>
      <x:c r="H14" s="52"/>
    </x:row>
    <x:row r="15" ht="30" customHeight="1">
      <x:c r="A15" s="26" t="str">
        <x:v>Adjusted Weight</x:v>
      </x:c>
      <x:c r="B15" s="68" t="n">
        <x:v>0.35</x:v>
      </x:c>
      <x:c r="C15" s="26" t="str">
        <x:v>WI Reference</x:v>
      </x:c>
      <x:c r="D15" s="16" t="str">
        <x:v>WI-SM-014
Bukti: sales pipeline, rekap omzet/leads, action plan.</x:v>
      </x:c>
      <x:c r="E15" s="52"/>
      <x:c r="F15" s="52"/>
      <x:c r="G15" s="52"/>
      <x:c r="H15" s="52"/>
    </x:row>
    <x:row r="16" ht="36" customHeight="1">
      <x:c r="A16" s="26" t="str">
        <x:v>Objective</x:v>
      </x:c>
      <x:c r="B16" s="16" t="str">
        <x:v>Mengendalikan pipeline agar target omzet, leads, dan closing berjalan sesuai rencana periodik yang disepakati.</x:v>
      </x:c>
      <x:c r="C16" s="52"/>
      <x:c r="D16" s="52"/>
      <x:c r="E16" s="52"/>
      <x:c r="F16" s="52"/>
      <x:c r="G16" s="52"/>
      <x:c r="H16" s="52"/>
    </x:row>
    <x:row r="17" ht="32" customHeight="1">
      <x:c r="A17" s="26" t="str">
        <x:v>Target Baseline</x:v>
      </x:c>
      <x:c r="B17" s="16" t="str">
        <x:v>≥100% target bulanan; 4 update pipeline/bulan; 100% risiko punya action plan.</x:v>
      </x:c>
      <x:c r="C17" s="52"/>
      <x:c r="D17" s="52"/>
      <x:c r="E17" s="52"/>
      <x:c r="F17" s="52"/>
      <x:c r="G17" s="52"/>
      <x:c r="H17" s="52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 ht="36" customHeight="1">
      <x:c r="A19" s="36" t="str">
        <x:v>No.</x:v>
      </x:c>
      <x:c r="B19" s="36" t="str">
        <x:v>KPI Detail / What to Check</x:v>
      </x:c>
      <x:c r="C19" s="36" t="str">
        <x:v>Actual Result</x:v>
      </x:c>
      <x:c r="D19" s="36" t="str">
        <x:v>Achievement %
(0–100)</x:v>
      </x:c>
      <x:c r="E19" s="36" t="str">
        <x:v>Evidence / Proof</x:v>
      </x:c>
      <x:c r="F19" s="36" t="str">
        <x:v>Status</x:v>
      </x:c>
      <x:c r="G19" s="36" t="str">
        <x:v>Issue / Root Cause</x:v>
      </x:c>
      <x:c r="H19" s="36" t="str">
        <x:v>Action / Follow-up</x:v>
      </x:c>
    </x:row>
    <x:row r="20" ht="52" customHeight="1">
      <x:c r="A20" s="16" t="n">
        <x:v>1</x:v>
      </x:c>
      <x:c r="B20" s="16" t="str">
        <x:v>≥100% target omzet/leads departemen yang disetujui pada awal bulan.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2</x:v>
      </x:c>
      <x:c r="B21" s="16" t="str">
        <x:v>Pipeline mingguan diperbarui dan memiliki next action.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 ht="52" customHeight="1">
      <x:c r="A22" s="16" t="n">
        <x:v>3</x:v>
      </x:c>
      <x:c r="B22" s="16" t="str">
        <x:v>Risiko target tidak tercapai dieskalasi bersama action plan.</x:v>
      </x:c>
      <x:c r="C22" s="54" t="str"/>
      <x:c r="D22" s="54" t="str"/>
      <x:c r="E22" s="54" t="str"/>
      <x:c r="F22" s="46" t="str">
        <x:f>IF(D22="","",IF(D22&gt;=90,"On Track",IF(D22&gt;=80,"Good",IF(D22&gt;=70,"Need Improvement","Priority"))))</x:f>
      </x:c>
      <x:c r="G22" s="54" t="str"/>
      <x:c r="H22" s="54" t="str"/>
    </x:row>
    <x:row r="23">
      <x:c r="A23" s="26" t="str">
        <x:v>Card Score</x:v>
      </x:c>
      <x:c r="B23" s="46" t="str">
        <x:f>IF(COUNT(D20:D22)=0,"",AVERAGE(D20:D22))</x:f>
      </x:c>
      <x:c r="C23" s="26" t="str">
        <x:v>Weighted Score</x:v>
      </x:c>
      <x:c r="D23" s="46" t="str">
        <x:f>IF(B23="","",B23*$B$15)</x:f>
      </x:c>
      <x:c r="E23" s="26" t="str">
        <x:v>Card Status</x:v>
      </x:c>
      <x:c r="F23" s="46" t="str">
        <x:f>IF(COUNT(D20:D22)=0,"Waiting for Input",IF(B23&gt;=90,"On Track",IF(B23&gt;=80,"Good",IF(B23&gt;=70,"Need Improvement","Priority"))))</x:f>
        <x:v>Waiting for Input</x:v>
      </x:c>
      <x:c r="G23" s="52"/>
      <x:c r="H23" s="52"/>
    </x:row>
    <x:row r="24" ht="34" customHeight="1">
      <x:c r="A24" s="26" t="str">
        <x:v>Overall Root Cause / Key Finding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Action Plan, PIC &amp; Due Date</x:v>
      </x:c>
      <x:c r="B25" s="54" t="str"/>
      <x:c r="C25" s="52"/>
      <x:c r="D25" s="52"/>
      <x:c r="E25" s="52"/>
      <x:c r="F25" s="52"/>
      <x:c r="G25" s="52"/>
      <x:c r="H25" s="52"/>
    </x:row>
    <x:row r="26" ht="34" customHeight="1">
      <x:c r="A26" s="26" t="str">
        <x:v>Reviewer Note</x:v>
      </x:c>
      <x:c r="B26" s="54" t="str"/>
      <x:c r="C26" s="52"/>
      <x:c r="D26" s="52"/>
      <x:c r="E26" s="52"/>
      <x:c r="F26" s="52"/>
      <x:c r="G26" s="52"/>
      <x:c r="H26" s="52"/>
    </x:row>
    <x:row r="27">
      <x:c r="A27" s="52"/>
      <x:c r="B27" s="52"/>
      <x:c r="C27" s="52"/>
      <x:c r="D27" s="52"/>
      <x:c r="E27" s="52"/>
      <x:c r="F27" s="52"/>
      <x:c r="G27" s="52"/>
      <x:c r="H27" s="52"/>
    </x:row>
    <x:row r="28" ht="24" customHeight="1">
      <x:c r="A28" s="62" t="str">
        <x:v>RC-KPI-SM-HEAD-02 — Strategi Campaign &amp; Pemasaran Digital</x:v>
      </x:c>
      <x:c r="B28" s="52"/>
      <x:c r="C28" s="52"/>
      <x:c r="D28" s="52"/>
      <x:c r="E28" s="52"/>
      <x:c r="F28" s="52"/>
      <x:c r="G28" s="52"/>
      <x:c r="H28" s="52"/>
    </x:row>
    <x:row r="29" ht="24" customHeight="1">
      <x:c r="A29" s="26" t="str">
        <x:v>KPI / Phase</x:v>
      </x:c>
      <x:c r="B29" s="16" t="str">
        <x:v>Strategi Campaign &amp; Pemasaran Digital</x:v>
      </x:c>
      <x:c r="C29" s="52"/>
      <x:c r="D29" s="52"/>
      <x:c r="E29" s="52"/>
      <x:c r="F29" s="52"/>
      <x:c r="G29" s="52"/>
      <x:c r="H29" s="52"/>
    </x:row>
    <x:row r="30" ht="30" customHeight="1">
      <x:c r="A30" s="26" t="str">
        <x:v>Adjusted Weight</x:v>
      </x:c>
      <x:c r="B30" s="68" t="n">
        <x:v>0.25</x:v>
      </x:c>
      <x:c r="C30" s="26" t="str">
        <x:v>WI Reference</x:v>
      </x:c>
      <x:c r="D30" s="16" t="str">
        <x:v>WI-SM-002, WI-SM-004, WI-SM-014
Bukti: campaign plan, laporan ads, evaluasi campaign.</x:v>
      </x:c>
      <x:c r="E30" s="52"/>
      <x:c r="F30" s="52"/>
      <x:c r="G30" s="52"/>
      <x:c r="H30" s="52"/>
    </x:row>
    <x:row r="31" ht="36" customHeight="1">
      <x:c r="A31" s="26" t="str">
        <x:v>Objective</x:v>
      </x:c>
      <x:c r="B31" s="16" t="str">
        <x:v>Memastikan setiap campaign memiliki tujuan, target, anggaran, dan evaluasi yang jelas.</x:v>
      </x:c>
      <x:c r="C31" s="52"/>
      <x:c r="D31" s="52"/>
      <x:c r="E31" s="52"/>
      <x:c r="F31" s="52"/>
      <x:c r="G31" s="52"/>
      <x:c r="H31" s="52"/>
    </x:row>
    <x:row r="32" ht="32" customHeight="1">
      <x:c r="A32" s="26" t="str">
        <x:v>Target Baseline</x:v>
      </x:c>
      <x:c r="B32" s="16" t="str">
        <x:v>100% campaign berplan; 4 monitoring/bulan; 100% campaign rendah punya optimasi.</x:v>
      </x:c>
      <x:c r="C32" s="52"/>
      <x:c r="D32" s="52"/>
      <x:c r="E32" s="52"/>
      <x:c r="F32" s="52"/>
      <x:c r="G32" s="52"/>
      <x:c r="H32" s="52"/>
    </x:row>
    <x:row r="33">
      <x:c r="A33" s="52"/>
      <x:c r="B33" s="52"/>
      <x:c r="C33" s="52"/>
      <x:c r="D33" s="52"/>
      <x:c r="E33" s="52"/>
      <x:c r="F33" s="52"/>
      <x:c r="G33" s="52"/>
      <x:c r="H33" s="52"/>
    </x:row>
    <x:row r="34" ht="36" customHeight="1">
      <x:c r="A34" s="36" t="str">
        <x:v>No.</x:v>
      </x:c>
      <x:c r="B34" s="36" t="str">
        <x:v>KPI Detail / What to Check</x:v>
      </x:c>
      <x:c r="C34" s="36" t="str">
        <x:v>Actual Result</x:v>
      </x:c>
      <x:c r="D34" s="36" t="str">
        <x:v>Achievement %
(0–100)</x:v>
      </x:c>
      <x:c r="E34" s="36" t="str">
        <x:v>Evidence / Proof</x:v>
      </x:c>
      <x:c r="F34" s="36" t="str">
        <x:v>Status</x:v>
      </x:c>
      <x:c r="G34" s="36" t="str">
        <x:v>Issue / Root Cause</x:v>
      </x:c>
      <x:c r="H34" s="36" t="str">
        <x:v>Action / Follow-up</x:v>
      </x:c>
    </x:row>
    <x:row r="35" ht="52" customHeight="1">
      <x:c r="A35" s="16" t="n">
        <x:v>1</x:v>
      </x:c>
      <x:c r="B35" s="16" t="str">
        <x:v>100% campaign aktif memiliki campaign plan dan target metrik.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2</x:v>
      </x:c>
      <x:c r="B36" s="16" t="str">
        <x:v>100% campaign dimonitor minimal mingguan.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 ht="52" customHeight="1">
      <x:c r="A37" s="16" t="n">
        <x:v>3</x:v>
      </x:c>
      <x:c r="B37" s="16" t="str">
        <x:v>Rekomendasi optimasi dibuat untuk campaign yang tidak mencapai target.</x:v>
      </x:c>
      <x:c r="C37" s="54" t="str"/>
      <x:c r="D37" s="54" t="str"/>
      <x:c r="E37" s="54" t="str"/>
      <x:c r="F37" s="46" t="str">
        <x:f>IF(D37="","",IF(D37&gt;=90,"On Track",IF(D37&gt;=80,"Good",IF(D37&gt;=70,"Need Improvement","Priority"))))</x:f>
      </x:c>
      <x:c r="G37" s="54" t="str"/>
      <x:c r="H37" s="54" t="str"/>
    </x:row>
    <x:row r="38">
      <x:c r="A38" s="26" t="str">
        <x:v>Card Score</x:v>
      </x:c>
      <x:c r="B38" s="46" t="str">
        <x:f>IF(COUNT(D35:D37)=0,"",AVERAGE(D35:D37))</x:f>
      </x:c>
      <x:c r="C38" s="26" t="str">
        <x:v>Weighted Score</x:v>
      </x:c>
      <x:c r="D38" s="46" t="str">
        <x:f>IF(B38="","",B38*$B$30)</x:f>
      </x:c>
      <x:c r="E38" s="26" t="str">
        <x:v>Card Status</x:v>
      </x:c>
      <x:c r="F38" s="46" t="str">
        <x:f>IF(COUNT(D35:D37)=0,"Waiting for Input",IF(B38&gt;=90,"On Track",IF(B38&gt;=80,"Good",IF(B38&gt;=70,"Need Improvement","Priority"))))</x:f>
        <x:v>Waiting for Input</x:v>
      </x:c>
      <x:c r="G38" s="52"/>
      <x:c r="H38" s="52"/>
    </x:row>
    <x:row r="39" ht="34" customHeight="1">
      <x:c r="A39" s="26" t="str">
        <x:v>Overall Root Cause / Key Finding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Action Plan, PIC &amp; Due Date</x:v>
      </x:c>
      <x:c r="B40" s="54" t="str"/>
      <x:c r="C40" s="52"/>
      <x:c r="D40" s="52"/>
      <x:c r="E40" s="52"/>
      <x:c r="F40" s="52"/>
      <x:c r="G40" s="52"/>
      <x:c r="H40" s="52"/>
    </x:row>
    <x:row r="41" ht="34" customHeight="1">
      <x:c r="A41" s="26" t="str">
        <x:v>Reviewer Note</x:v>
      </x:c>
      <x:c r="B41" s="54" t="str"/>
      <x:c r="C41" s="52"/>
      <x:c r="D41" s="52"/>
      <x:c r="E41" s="52"/>
      <x:c r="F41" s="52"/>
      <x:c r="G41" s="52"/>
      <x:c r="H41" s="52"/>
    </x:row>
    <x:row r="42">
      <x:c r="A42" s="52"/>
      <x:c r="B42" s="52"/>
      <x:c r="C42" s="52"/>
      <x:c r="D42" s="52"/>
      <x:c r="E42" s="52"/>
      <x:c r="F42" s="52"/>
      <x:c r="G42" s="52"/>
      <x:c r="H42" s="52"/>
    </x:row>
    <x:row r="43" ht="24" customHeight="1">
      <x:c r="A43" s="62" t="str">
        <x:v>RC-KPI-SM-HEAD-03 — Sinkronisasi Order ke Operations</x:v>
      </x:c>
      <x:c r="B43" s="52"/>
      <x:c r="C43" s="52"/>
      <x:c r="D43" s="52"/>
      <x:c r="E43" s="52"/>
      <x:c r="F43" s="52"/>
      <x:c r="G43" s="52"/>
      <x:c r="H43" s="52"/>
    </x:row>
    <x:row r="44" ht="24" customHeight="1">
      <x:c r="A44" s="26" t="str">
        <x:v>KPI / Phase</x:v>
      </x:c>
      <x:c r="B44" s="16" t="str">
        <x:v>Sinkronisasi Order ke Operations</x:v>
      </x:c>
      <x:c r="C44" s="52"/>
      <x:c r="D44" s="52"/>
      <x:c r="E44" s="52"/>
      <x:c r="F44" s="52"/>
      <x:c r="G44" s="52"/>
      <x:c r="H44" s="52"/>
    </x:row>
    <x:row r="45" ht="30" customHeight="1">
      <x:c r="A45" s="26" t="str">
        <x:v>Adjusted Weight</x:v>
      </x:c>
      <x:c r="B45" s="68" t="n">
        <x:v>0.25</x:v>
      </x:c>
      <x:c r="C45" s="26" t="str">
        <x:v>WI Reference</x:v>
      </x:c>
      <x:c r="D45" s="16" t="str">
        <x:v>WI-SM-008, WI-SM-009, WI-SM-014
Bukti: form order, tracker handover, notulen kapasitas.</x:v>
      </x:c>
      <x:c r="E45" s="52"/>
      <x:c r="F45" s="52"/>
      <x:c r="G45" s="52"/>
      <x:c r="H45" s="52"/>
    </x:row>
    <x:row r="46" ht="36" customHeight="1">
      <x:c r="A46" s="26" t="str">
        <x:v>Objective</x:v>
      </x:c>
      <x:c r="B46" s="16" t="str">
        <x:v>Menjaga janji penjualan selaras dengan kapasitas produksi dan memastikan setiap closing diteruskan melalui jalur resmi.</x:v>
      </x:c>
      <x:c r="C46" s="52"/>
      <x:c r="D46" s="52"/>
      <x:c r="E46" s="52"/>
      <x:c r="F46" s="52"/>
      <x:c r="G46" s="52"/>
      <x:c r="H46" s="52"/>
    </x:row>
    <x:row r="47" ht="32" customHeight="1">
      <x:c r="A47" s="26" t="str">
        <x:v>Target Baseline</x:v>
      </x:c>
      <x:c r="B47" s="16" t="str">
        <x:v>100% cek kapasitas &amp; handover resmi; 0 bypass WO.</x:v>
      </x:c>
      <x:c r="C47" s="52"/>
      <x:c r="D47" s="52"/>
      <x:c r="E47" s="52"/>
      <x:c r="F47" s="52"/>
      <x:c r="G47" s="52"/>
      <x:c r="H47" s="52"/>
    </x:row>
    <x:row r="48">
      <x:c r="A48" s="52"/>
      <x:c r="B48" s="52"/>
      <x:c r="C48" s="52"/>
      <x:c r="D48" s="52"/>
      <x:c r="E48" s="52"/>
      <x:c r="F48" s="52"/>
      <x:c r="G48" s="52"/>
      <x:c r="H48" s="52"/>
    </x:row>
    <x:row r="49" ht="36" customHeight="1">
      <x:c r="A49" s="36" t="str">
        <x:v>No.</x:v>
      </x:c>
      <x:c r="B49" s="36" t="str">
        <x:v>KPI Detail / What to Check</x:v>
      </x:c>
      <x:c r="C49" s="36" t="str">
        <x:v>Actual Result</x:v>
      </x:c>
      <x:c r="D49" s="36" t="str">
        <x:v>Achievement %
(0–100)</x:v>
      </x:c>
      <x:c r="E49" s="36" t="str">
        <x:v>Evidence / Proof</x:v>
      </x:c>
      <x:c r="F49" s="36" t="str">
        <x:v>Status</x:v>
      </x:c>
      <x:c r="G49" s="36" t="str">
        <x:v>Issue / Root Cause</x:v>
      </x:c>
      <x:c r="H49" s="36" t="str">
        <x:v>Action / Follow-up</x:v>
      </x:c>
    </x:row>
    <x:row r="50" ht="52" customHeight="1">
      <x:c r="A50" s="16" t="n">
        <x:v>1</x:v>
      </x:c>
      <x:c r="B50" s="16" t="str">
        <x:v>100% order besar/custom dikonfirmasi kapasitasnya sebelum janji lead time.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2</x:v>
      </x:c>
      <x:c r="B51" s="16" t="str">
        <x:v>100% order closing diserahkan melalui Form Order ke Admin Ops.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 ht="52" customHeight="1">
      <x:c r="A52" s="16" t="n">
        <x:v>3</x:v>
      </x:c>
      <x:c r="B52" s="16" t="str">
        <x:v>0 instruksi langsung dari Sales ke Operator tanpa WO.</x:v>
      </x:c>
      <x:c r="C52" s="54" t="str"/>
      <x:c r="D52" s="54" t="str"/>
      <x:c r="E52" s="54" t="str"/>
      <x:c r="F52" s="46" t="str">
        <x:f>IF(D52="","",IF(D52&gt;=90,"On Track",IF(D52&gt;=80,"Good",IF(D52&gt;=70,"Need Improvement","Priority"))))</x:f>
      </x:c>
      <x:c r="G52" s="54" t="str"/>
      <x:c r="H52" s="54" t="str"/>
    </x:row>
    <x:row r="53">
      <x:c r="A53" s="26" t="str">
        <x:v>Card Score</x:v>
      </x:c>
      <x:c r="B53" s="46" t="str">
        <x:f>IF(COUNT(D50:D52)=0,"",AVERAGE(D50:D52))</x:f>
      </x:c>
      <x:c r="C53" s="26" t="str">
        <x:v>Weighted Score</x:v>
      </x:c>
      <x:c r="D53" s="46" t="str">
        <x:f>IF(B53="","",B53*$B$45)</x:f>
      </x:c>
      <x:c r="E53" s="26" t="str">
        <x:v>Card Status</x:v>
      </x:c>
      <x:c r="F53" s="46" t="str">
        <x:f>IF(COUNT(D50:D52)=0,"Waiting for Input",IF(B53&gt;=90,"On Track",IF(B53&gt;=80,"Good",IF(B53&gt;=70,"Need Improvement","Priority"))))</x:f>
        <x:v>Waiting for Input</x:v>
      </x:c>
      <x:c r="G53" s="52"/>
      <x:c r="H53" s="52"/>
    </x:row>
    <x:row r="54" ht="34" customHeight="1">
      <x:c r="A54" s="26" t="str">
        <x:v>Overall Root Cause / Key Finding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Action Plan, PIC &amp; Due Date</x:v>
      </x:c>
      <x:c r="B55" s="54" t="str"/>
      <x:c r="C55" s="52"/>
      <x:c r="D55" s="52"/>
      <x:c r="E55" s="52"/>
      <x:c r="F55" s="52"/>
      <x:c r="G55" s="52"/>
      <x:c r="H55" s="52"/>
    </x:row>
    <x:row r="56" ht="34" customHeight="1">
      <x:c r="A56" s="26" t="str">
        <x:v>Reviewer Note</x:v>
      </x:c>
      <x:c r="B56" s="54" t="str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  <x:row r="58" ht="24" customHeight="1">
      <x:c r="A58" s="62" t="str">
        <x:v>RC-KPI-SM-HEAD-04 — Manajemen Tim &amp; Pelaporan KPI</x:v>
      </x:c>
      <x:c r="B58" s="52"/>
      <x:c r="C58" s="52"/>
      <x:c r="D58" s="52"/>
      <x:c r="E58" s="52"/>
      <x:c r="F58" s="52"/>
      <x:c r="G58" s="52"/>
      <x:c r="H58" s="52"/>
    </x:row>
    <x:row r="59" ht="24" customHeight="1">
      <x:c r="A59" s="26" t="str">
        <x:v>KPI / Phase</x:v>
      </x:c>
      <x:c r="B59" s="16" t="str">
        <x:v>Manajemen Tim &amp; Pelaporan KPI</x:v>
      </x:c>
      <x:c r="C59" s="52"/>
      <x:c r="D59" s="52"/>
      <x:c r="E59" s="52"/>
      <x:c r="F59" s="52"/>
      <x:c r="G59" s="52"/>
      <x:c r="H59" s="52"/>
    </x:row>
    <x:row r="60" ht="30" customHeight="1">
      <x:c r="A60" s="26" t="str">
        <x:v>Adjusted Weight</x:v>
      </x:c>
      <x:c r="B60" s="68" t="n">
        <x:v>0.15</x:v>
      </x:c>
      <x:c r="C60" s="26" t="str">
        <x:v>WI Reference</x:v>
      </x:c>
      <x:c r="D60" s="16" t="str">
        <x:v>WI-SM-014
Bukti: notulen, scorecard tim, laporan KPI bulanan.</x:v>
      </x:c>
      <x:c r="E60" s="52"/>
      <x:c r="F60" s="52"/>
      <x:c r="G60" s="52"/>
      <x:c r="H60" s="52"/>
    </x:row>
    <x:row r="61" ht="36" customHeight="1">
      <x:c r="A61" s="26" t="str">
        <x:v>Objective</x:v>
      </x:c>
      <x:c r="B61" s="16" t="str">
        <x:v>Menutup siklus monitoring melalui evaluasi KPI, coaching, dan action plan yang jelas.</x:v>
      </x:c>
      <x:c r="C61" s="52"/>
      <x:c r="D61" s="52"/>
      <x:c r="E61" s="52"/>
      <x:c r="F61" s="52"/>
      <x:c r="G61" s="52"/>
      <x:c r="H61" s="52"/>
    </x:row>
    <x:row r="62" ht="32" customHeight="1">
      <x:c r="A62" s="26" t="str">
        <x:v>Target Baseline</x:v>
      </x:c>
      <x:c r="B62" s="16" t="str">
        <x:v>4 rapat/bulan; 100% rekap KPI; 1 laporan bulanan + action plan.</x:v>
      </x:c>
      <x:c r="C62" s="52"/>
      <x:c r="D62" s="52"/>
      <x:c r="E62" s="52"/>
      <x:c r="F62" s="52"/>
      <x:c r="G62" s="52"/>
      <x:c r="H62" s="52"/>
    </x:row>
    <x:row r="63">
      <x:c r="A63" s="52"/>
      <x:c r="B63" s="52"/>
      <x:c r="C63" s="52"/>
      <x:c r="D63" s="52"/>
      <x:c r="E63" s="52"/>
      <x:c r="F63" s="52"/>
      <x:c r="G63" s="52"/>
      <x:c r="H63" s="52"/>
    </x:row>
    <x:row r="64" ht="36" customHeight="1">
      <x:c r="A64" s="36" t="str">
        <x:v>No.</x:v>
      </x:c>
      <x:c r="B64" s="36" t="str">
        <x:v>KPI Detail / What to Check</x:v>
      </x:c>
      <x:c r="C64" s="36" t="str">
        <x:v>Actual Result</x:v>
      </x:c>
      <x:c r="D64" s="36" t="str">
        <x:v>Achievement %
(0–100)</x:v>
      </x:c>
      <x:c r="E64" s="36" t="str">
        <x:v>Evidence / Proof</x:v>
      </x:c>
      <x:c r="F64" s="36" t="str">
        <x:v>Status</x:v>
      </x:c>
      <x:c r="G64" s="36" t="str">
        <x:v>Issue / Root Cause</x:v>
      </x:c>
      <x:c r="H64" s="36" t="str">
        <x:v>Action / Follow-up</x:v>
      </x:c>
    </x:row>
    <x:row r="65" ht="52" customHeight="1">
      <x:c r="A65" s="16" t="n">
        <x:v>1</x:v>
      </x:c>
      <x:c r="B65" s="16" t="str">
        <x:v>4 rapat kontrol/koordinasi per bulan.</x:v>
      </x:c>
      <x:c r="C65" s="54" t="str"/>
      <x:c r="D65" s="54" t="str"/>
      <x:c r="E65" s="54" t="str"/>
      <x:c r="F65" s="46" t="str">
        <x:f>IF(D65="","",IF(D65&gt;=90,"On Track",IF(D65&gt;=80,"Good",IF(D65&gt;=70,"Need Improvement","Priority"))))</x:f>
      </x:c>
      <x:c r="G65" s="54" t="str"/>
      <x:c r="H65" s="54" t="str"/>
    </x:row>
    <x:row r="66" ht="52" customHeight="1">
      <x:c r="A66" s="16" t="n">
        <x:v>2</x:v>
      </x:c>
      <x:c r="B66" s="16" t="str">
        <x:v>100% anggota tim memiliki rekap KPI periodik.</x:v>
      </x:c>
      <x:c r="C66" s="54" t="str"/>
      <x:c r="D66" s="54" t="str"/>
      <x:c r="E66" s="54" t="str"/>
      <x:c r="F66" s="46" t="str">
        <x:f>IF(D66="","",IF(D66&gt;=90,"On Track",IF(D66&gt;=80,"Good",IF(D66&gt;=70,"Need Improvement","Priority"))))</x:f>
      </x:c>
      <x:c r="G66" s="54" t="str"/>
      <x:c r="H66" s="54" t="str"/>
    </x:row>
    <x:row r="67" ht="52" customHeight="1">
      <x:c r="A67" s="16" t="n">
        <x:v>3</x:v>
      </x:c>
      <x:c r="B67" s="16" t="str">
        <x:v>Laporan KPI &amp; action plan disampaikan kepada Manajer/Owner.</x:v>
      </x:c>
      <x:c r="C67" s="54" t="str"/>
      <x:c r="D67" s="54" t="str"/>
      <x:c r="E67" s="54" t="str"/>
      <x:c r="F67" s="46" t="str">
        <x:f>IF(D67="","",IF(D67&gt;=90,"On Track",IF(D67&gt;=80,"Good",IF(D67&gt;=70,"Need Improvement","Priority"))))</x:f>
      </x:c>
      <x:c r="G67" s="54" t="str"/>
      <x:c r="H67" s="54" t="str"/>
    </x:row>
    <x:row r="68">
      <x:c r="A68" s="26" t="str">
        <x:v>Card Score</x:v>
      </x:c>
      <x:c r="B68" s="46" t="str">
        <x:f>IF(COUNT(D65:D67)=0,"",AVERAGE(D65:D67))</x:f>
      </x:c>
      <x:c r="C68" s="26" t="str">
        <x:v>Weighted Score</x:v>
      </x:c>
      <x:c r="D68" s="46" t="str">
        <x:f>IF(B68="","",B68*$B$60)</x:f>
      </x:c>
      <x:c r="E68" s="26" t="str">
        <x:v>Card Status</x:v>
      </x:c>
      <x:c r="F68" s="46" t="str">
        <x:f>IF(COUNT(D65:D67)=0,"Waiting for Input",IF(B68&gt;=90,"On Track",IF(B68&gt;=80,"Good",IF(B68&gt;=70,"Need Improvement","Priority"))))</x:f>
        <x:v>Waiting for Input</x:v>
      </x:c>
      <x:c r="G68" s="52"/>
      <x:c r="H68" s="52"/>
    </x:row>
    <x:row r="69" ht="34" customHeight="1">
      <x:c r="A69" s="26" t="str">
        <x:v>Overall Root Cause / Key Finding</x:v>
      </x:c>
      <x:c r="B69" s="54" t="str"/>
      <x:c r="C69" s="52"/>
      <x:c r="D69" s="52"/>
      <x:c r="E69" s="52"/>
      <x:c r="F69" s="52"/>
      <x:c r="G69" s="52"/>
      <x:c r="H69" s="52"/>
    </x:row>
    <x:row r="70" ht="34" customHeight="1">
      <x:c r="A70" s="26" t="str">
        <x:v>Action Plan, PIC &amp; Due Date</x:v>
      </x:c>
      <x:c r="B70" s="54" t="str"/>
      <x:c r="C70" s="52"/>
      <x:c r="D70" s="52"/>
      <x:c r="E70" s="52"/>
      <x:c r="F70" s="52"/>
      <x:c r="G70" s="52"/>
      <x:c r="H70" s="52"/>
    </x:row>
    <x:row r="71" ht="34" customHeight="1">
      <x:c r="A71" s="26" t="str">
        <x:v>Reviewer Note</x:v>
      </x:c>
      <x:c r="B71" s="54" t="str"/>
      <x:c r="C71" s="52"/>
      <x:c r="D71" s="52"/>
      <x:c r="E71" s="52"/>
      <x:c r="F71" s="52"/>
      <x:c r="G71" s="52"/>
      <x:c r="H71" s="52"/>
    </x:row>
    <x:row r="72">
      <x:c r="A72" s="52"/>
      <x:c r="B72" s="52"/>
      <x:c r="C72" s="52"/>
      <x:c r="D72" s="52"/>
      <x:c r="E72" s="52"/>
      <x:c r="F72" s="52"/>
      <x:c r="G72" s="52"/>
      <x:c r="H72" s="52"/>
    </x:row>
    <x:row r="73">
      <x:c r="A73" s="52"/>
      <x:c r="B73" s="52"/>
      <x:c r="C73" s="52"/>
      <x:c r="D73" s="52"/>
      <x:c r="E73" s="52"/>
      <x:c r="F73" s="52"/>
      <x:c r="G73" s="52"/>
      <x:c r="H73" s="52"/>
    </x:row>
  </x:sheetData>
  <x:mergeCells>
    <x:mergeCell ref="A1:H1"/>
    <x:mergeCell ref="A5:H5"/>
    <x:mergeCell ref="A13:H13"/>
    <x:mergeCell ref="B14:H14"/>
    <x:mergeCell ref="D15:H15"/>
    <x:mergeCell ref="B16:H16"/>
    <x:mergeCell ref="B17:H17"/>
    <x:mergeCell ref="F23:H23"/>
    <x:mergeCell ref="B24:H24"/>
    <x:mergeCell ref="B25:H25"/>
    <x:mergeCell ref="B26:H26"/>
    <x:mergeCell ref="A28:H28"/>
    <x:mergeCell ref="B29:H29"/>
    <x:mergeCell ref="D30:H30"/>
    <x:mergeCell ref="B31:H31"/>
    <x:mergeCell ref="B32:H32"/>
    <x:mergeCell ref="F38:H38"/>
    <x:mergeCell ref="B39:H39"/>
    <x:mergeCell ref="B40:H40"/>
    <x:mergeCell ref="B41:H41"/>
    <x:mergeCell ref="A43:H43"/>
    <x:mergeCell ref="B44:H44"/>
    <x:mergeCell ref="D45:H45"/>
    <x:mergeCell ref="B46:H46"/>
    <x:mergeCell ref="B47:H47"/>
    <x:mergeCell ref="F53:H53"/>
    <x:mergeCell ref="B54:H54"/>
    <x:mergeCell ref="B55:H55"/>
    <x:mergeCell ref="B56:H56"/>
    <x:mergeCell ref="A58:H58"/>
    <x:mergeCell ref="B59:H59"/>
    <x:mergeCell ref="D60:H60"/>
    <x:mergeCell ref="B61:H61"/>
    <x:mergeCell ref="B62:H62"/>
    <x:mergeCell ref="F68:H68"/>
    <x:mergeCell ref="B69:H69"/>
    <x:mergeCell ref="B70:H70"/>
    <x:mergeCell ref="B71:H71"/>
    <x:mergeCell ref="A11:B11"/>
    <x:mergeCell ref="G11:H11"/>
    <x:mergeCell ref="A12:H12"/>
  </x:mergeCells>
  <x:conditionalFormatting sqref="D20:D20">
    <x:cfRule type="cellIs" dxfId="222" priority="1" operator="greaterThanOrEqual">
      <x:formula>90</x:formula>
    </x:cfRule>
    <x:cfRule type="cellIs" dxfId="223" priority="2" operator="between">
      <x:formula>70</x:formula>
    </x:cfRule>
    <x:cfRule type="cellIs" dxfId="224" priority="3" operator="lessThan">
      <x:formula>70</x:formula>
    </x:cfRule>
  </x:conditionalFormatting>
  <x:conditionalFormatting sqref="D21:D21">
    <x:cfRule type="cellIs" dxfId="225" priority="4" operator="greaterThanOrEqual">
      <x:formula>90</x:formula>
    </x:cfRule>
    <x:cfRule type="cellIs" dxfId="226" priority="5" operator="between">
      <x:formula>70</x:formula>
    </x:cfRule>
    <x:cfRule type="cellIs" dxfId="227" priority="6" operator="lessThan">
      <x:formula>70</x:formula>
    </x:cfRule>
  </x:conditionalFormatting>
  <x:conditionalFormatting sqref="D22:D22">
    <x:cfRule type="cellIs" dxfId="228" priority="7" operator="greaterThanOrEqual">
      <x:formula>90</x:formula>
    </x:cfRule>
    <x:cfRule type="cellIs" dxfId="229" priority="8" operator="between">
      <x:formula>70</x:formula>
    </x:cfRule>
    <x:cfRule type="cellIs" dxfId="230" priority="9" operator="lessThan">
      <x:formula>70</x:formula>
    </x:cfRule>
  </x:conditionalFormatting>
  <x:conditionalFormatting sqref="D35:D35">
    <x:cfRule type="cellIs" dxfId="231" priority="10" operator="greaterThanOrEqual">
      <x:formula>90</x:formula>
    </x:cfRule>
    <x:cfRule type="cellIs" dxfId="232" priority="11" operator="between">
      <x:formula>70</x:formula>
    </x:cfRule>
    <x:cfRule type="cellIs" dxfId="233" priority="12" operator="lessThan">
      <x:formula>70</x:formula>
    </x:cfRule>
  </x:conditionalFormatting>
  <x:conditionalFormatting sqref="D36:D36">
    <x:cfRule type="cellIs" dxfId="234" priority="13" operator="greaterThanOrEqual">
      <x:formula>90</x:formula>
    </x:cfRule>
    <x:cfRule type="cellIs" dxfId="235" priority="14" operator="between">
      <x:formula>70</x:formula>
    </x:cfRule>
    <x:cfRule type="cellIs" dxfId="236" priority="15" operator="lessThan">
      <x:formula>70</x:formula>
    </x:cfRule>
  </x:conditionalFormatting>
  <x:conditionalFormatting sqref="D37:D37">
    <x:cfRule type="cellIs" dxfId="237" priority="16" operator="greaterThanOrEqual">
      <x:formula>90</x:formula>
    </x:cfRule>
    <x:cfRule type="cellIs" dxfId="238" priority="17" operator="between">
      <x:formula>70</x:formula>
    </x:cfRule>
    <x:cfRule type="cellIs" dxfId="239" priority="18" operator="lessThan">
      <x:formula>70</x:formula>
    </x:cfRule>
  </x:conditionalFormatting>
  <x:conditionalFormatting sqref="D50:D50">
    <x:cfRule type="cellIs" dxfId="240" priority="19" operator="greaterThanOrEqual">
      <x:formula>90</x:formula>
    </x:cfRule>
    <x:cfRule type="cellIs" dxfId="241" priority="20" operator="between">
      <x:formula>70</x:formula>
    </x:cfRule>
    <x:cfRule type="cellIs" dxfId="242" priority="21" operator="lessThan">
      <x:formula>70</x:formula>
    </x:cfRule>
  </x:conditionalFormatting>
  <x:conditionalFormatting sqref="D51:D51">
    <x:cfRule type="cellIs" dxfId="243" priority="22" operator="greaterThanOrEqual">
      <x:formula>90</x:formula>
    </x:cfRule>
    <x:cfRule type="cellIs" dxfId="244" priority="23" operator="between">
      <x:formula>70</x:formula>
    </x:cfRule>
    <x:cfRule type="cellIs" dxfId="245" priority="24" operator="lessThan">
      <x:formula>70</x:formula>
    </x:cfRule>
  </x:conditionalFormatting>
  <x:conditionalFormatting sqref="D52:D52">
    <x:cfRule type="cellIs" dxfId="246" priority="25" operator="greaterThanOrEqual">
      <x:formula>90</x:formula>
    </x:cfRule>
    <x:cfRule type="cellIs" dxfId="247" priority="26" operator="between">
      <x:formula>70</x:formula>
    </x:cfRule>
    <x:cfRule type="cellIs" dxfId="248" priority="27" operator="lessThan">
      <x:formula>70</x:formula>
    </x:cfRule>
  </x:conditionalFormatting>
  <x:conditionalFormatting sqref="D65:D65">
    <x:cfRule type="cellIs" dxfId="249" priority="28" operator="greaterThanOrEqual">
      <x:formula>90</x:formula>
    </x:cfRule>
    <x:cfRule type="cellIs" dxfId="250" priority="29" operator="between">
      <x:formula>70</x:formula>
    </x:cfRule>
    <x:cfRule type="cellIs" dxfId="251" priority="30" operator="lessThan">
      <x:formula>70</x:formula>
    </x:cfRule>
  </x:conditionalFormatting>
  <x:conditionalFormatting sqref="D66:D66">
    <x:cfRule type="cellIs" dxfId="252" priority="31" operator="greaterThanOrEqual">
      <x:formula>90</x:formula>
    </x:cfRule>
    <x:cfRule type="cellIs" dxfId="253" priority="32" operator="between">
      <x:formula>70</x:formula>
    </x:cfRule>
    <x:cfRule type="cellIs" dxfId="254" priority="33" operator="lessThan">
      <x:formula>70</x:formula>
    </x:cfRule>
  </x:conditionalFormatting>
  <x:conditionalFormatting sqref="D67:D67">
    <x:cfRule type="cellIs" dxfId="255" priority="34" operator="greaterThanOrEqual">
      <x:formula>90</x:formula>
    </x:cfRule>
    <x:cfRule type="cellIs" dxfId="256" priority="35" operator="between">
      <x:formula>70</x:formula>
    </x:cfRule>
    <x:cfRule type="cellIs" dxfId="257" priority="36" operator="lessThan">
      <x:formula>70</x:formula>
    </x:cfRule>
  </x:conditionalFormatting>
  <x:dataValidations count="12"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22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37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  <x:dataValidation type="list" sqref="D52">
      <x:formula1>"0,5,10,15,20,25,30,35,40,45,50,55,60,65,70,75,80,85,90,95,100"</x:formula1>
    </x:dataValidation>
    <x:dataValidation type="list" sqref="D65">
      <x:formula1>"0,5,10,15,20,25,30,35,40,45,50,55,60,65,70,75,80,85,90,95,100"</x:formula1>
    </x:dataValidation>
    <x:dataValidation type="list" sqref="D66">
      <x:formula1>"0,5,10,15,20,25,30,35,40,45,50,55,60,65,70,75,80,85,90,95,100"</x:formula1>
    </x:dataValidation>
    <x:dataValidation type="list" sqref="D67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STAFF MARKETING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Sales &amp; Marketing</x:v>
      </x:c>
      <x:c r="C2" s="26" t="str">
        <x:v>KPI Code</x:v>
      </x:c>
      <x:c r="D2" s="16" t="str">
        <x:v>KPI-SM-MKT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Kepala Sales &amp; Marketing</x:v>
      </x:c>
      <x:c r="C3" s="26" t="str">
        <x:v>Headcount Reference</x:v>
      </x:c>
      <x:c r="D3" s="16" t="str">
        <x:v>2</x:v>
      </x:c>
      <x:c r="E3" s="26" t="str">
        <x:v>Applicable KPI</x:v>
      </x:c>
      <x:c r="F3" s="16" t="n">
        <x:v>3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Etalase Digital, Konten &amp; SEO</x:v>
      </x:c>
      <x:c r="C7" s="68" t="n">
        <x:v>0.5</x:v>
      </x:c>
      <x:c r="D7" s="46" t="n">
        <x:f>B22</x:f>
        <x:v>0</x:v>
      </x:c>
      <x:c r="E7" s="46" t="n">
        <x:f>D22</x:f>
        <x:v>0</x:v>
      </x:c>
      <x:c r="F7" s="46" t="str">
        <x:f>F22</x:f>
        <x:v>Waiting for Input</x:v>
      </x:c>
      <x:c r="G7" s="16" t="str">
        <x:v>WI-SM-003
Bukti: content calendar, link konten, audit etalase, keyword list.</x:v>
      </x:c>
      <x:c r="H7" s="16" t="str">
        <x:v>RC-KPI-SM-MKT-01</x:v>
      </x:c>
    </x:row>
    <x:row r="8" ht="36" customHeight="1">
      <x:c r="A8" s="16" t="n">
        <x:v>2</x:v>
      </x:c>
      <x:c r="B8" s="16" t="str">
        <x:v>Lead Capture &amp; Hand-off</x:v>
      </x:c>
      <x:c r="C8" s="68" t="n">
        <x:v>0.28571428571428575</x:v>
      </x:c>
      <x:c r="D8" s="46" t="n">
        <x:f>B37</x:f>
        <x:v>0</x:v>
      </x:c>
      <x:c r="E8" s="46" t="n">
        <x:f>D37</x:f>
        <x:v>0</x:v>
      </x:c>
      <x:c r="F8" s="46" t="str">
        <x:f>F37</x:f>
        <x:v>Waiting for Input</x:v>
      </x:c>
      <x:c r="G8" s="16" t="str">
        <x:v>WI-SM-005
Bukti: CRM/leads list, timestamp hand-off, update status.</x:v>
      </x:c>
      <x:c r="H8" s="16" t="str">
        <x:v>RC-KPI-SM-MKT-02</x:v>
      </x:c>
    </x:row>
    <x:row r="9" ht="36" customHeight="1">
      <x:c r="A9" s="16" t="n">
        <x:v>3</x:v>
      </x:c>
      <x:c r="B9" s="16" t="str">
        <x:v>Riset Pasar &amp; Insight</x:v>
      </x:c>
      <x:c r="C9" s="68" t="n">
        <x:v>0.2142857142857143</x:v>
      </x:c>
      <x:c r="D9" s="46" t="n">
        <x:f>B52</x:f>
        <x:v>0</x:v>
      </x:c>
      <x:c r="E9" s="46" t="n">
        <x:f>D52</x:f>
        <x:v>0</x:v>
      </x:c>
      <x:c r="F9" s="46" t="str">
        <x:f>F52</x:f>
        <x:v>Waiting for Input</x:v>
      </x:c>
      <x:c r="G9" s="16" t="str">
        <x:v>WI-SM-001, WI-SM-012
Bukti: laporan riset, handover R&amp;D, rekap analitik.</x:v>
      </x:c>
      <x:c r="H9" s="16" t="str">
        <x:v>RC-KPI-SM-MKT-03</x:v>
      </x:c>
    </x:row>
    <x:row r="10">
      <x:c r="A10" s="62" t="str">
        <x:v>Overall Role Score</x:v>
      </x:c>
      <x:c r="B10" s="52"/>
      <x:c r="C10" s="26" t="str">
        <x:v>Total Weight</x:v>
      </x:c>
      <x:c r="D10" s="68" t="n">
        <x:f>SUM(C7:C9)</x:f>
        <x:v>1</x:v>
      </x:c>
      <x:c r="E10" s="46" t="str">
        <x:f>IF(COUNT(D19:D21,D34:D36,D49:D51)=0,"",SUM(E7:E9))</x:f>
      </x:c>
      <x:c r="F10" s="26" t="str">
        <x:v>Overall Status</x:v>
      </x:c>
      <x:c r="G10" s="46" t="str">
        <x:f>IF(COUNT(D19:D21,D34:D36,D49:D51)=0,"Waiting for Input",IF(E10&gt;=90,"On Track",IF(E10&gt;=80,"Good",IF(E10&gt;=70,"Need Improvement","Priority"))))</x:f>
        <x:v>Waiting for Input</x:v>
      </x:c>
      <x:c r="H10" s="52"/>
    </x:row>
    <x:row r="11" ht="22" customHeight="1">
      <x:c r="A11" s="16" t="str">
        <x:v>Fill yellow cells only. Score output is calculated from the average Achievement % of KPI details in each card.</x:v>
      </x:c>
      <x:c r="B11" s="52"/>
      <x:c r="C11" s="52"/>
      <x:c r="D11" s="52"/>
      <x:c r="E11" s="52"/>
      <x:c r="F11" s="52"/>
      <x:c r="G11" s="52"/>
      <x:c r="H11" s="52"/>
    </x:row>
    <x:row r="12" ht="24" customHeight="1">
      <x:c r="A12" s="62" t="str">
        <x:v>RC-KPI-SM-MKT-01 — Etalase Digital, Konten &amp; SEO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26" t="str">
        <x:v>KPI / Phase</x:v>
      </x:c>
      <x:c r="B13" s="16" t="str">
        <x:v>Etalase Digital, Konten &amp; SEO</x:v>
      </x:c>
      <x:c r="C13" s="52"/>
      <x:c r="D13" s="52"/>
      <x:c r="E13" s="52"/>
      <x:c r="F13" s="52"/>
      <x:c r="G13" s="52"/>
      <x:c r="H13" s="52"/>
    </x:row>
    <x:row r="14" ht="30" customHeight="1">
      <x:c r="A14" s="26" t="str">
        <x:v>Adjusted Weight</x:v>
      </x:c>
      <x:c r="B14" s="68" t="n">
        <x:v>0.5</x:v>
      </x:c>
      <x:c r="C14" s="26" t="str">
        <x:v>WI Reference</x:v>
      </x:c>
      <x:c r="D14" s="16" t="str">
        <x:v>WI-SM-003
Bukti: content calendar, link konten, audit etalase, keyword list.</x:v>
      </x:c>
      <x:c r="E14" s="52"/>
      <x:c r="F14" s="52"/>
      <x:c r="G14" s="52"/>
      <x:c r="H14" s="52"/>
    </x:row>
    <x:row r="15" ht="36" customHeight="1">
      <x:c r="A15" s="26" t="str">
        <x:v>Objective</x:v>
      </x:c>
      <x:c r="B15" s="16" t="str">
        <x:v>Menjaga kanal digital aktif, akurat, dan mengomunikasikan value produk secara konsisten.</x:v>
      </x:c>
      <x:c r="C15" s="52"/>
      <x:c r="D15" s="52"/>
      <x:c r="E15" s="52"/>
      <x:c r="F15" s="52"/>
      <x:c r="G15" s="52"/>
      <x:c r="H15" s="52"/>
    </x:row>
    <x:row r="16" ht="32" customHeight="1">
      <x:c r="A16" s="26" t="str">
        <x:v>Target Baseline</x:v>
      </x:c>
      <x:c r="B16" s="16" t="str">
        <x:v>≥20 konten/bulan; 100% etalase prioritas lengkap; SEO sesuai plan.</x:v>
      </x:c>
      <x:c r="C16" s="52"/>
      <x:c r="D16" s="52"/>
      <x:c r="E16" s="52"/>
      <x:c r="F16" s="52"/>
      <x:c r="G16" s="52"/>
      <x:c r="H16" s="52"/>
    </x:row>
    <x:row r="17">
      <x:c r="A17" s="52"/>
      <x:c r="B17" s="52"/>
      <x:c r="C17" s="52"/>
      <x:c r="D17" s="52"/>
      <x:c r="E17" s="52"/>
      <x:c r="F17" s="52"/>
      <x:c r="G17" s="52"/>
      <x:c r="H17" s="52"/>
    </x:row>
    <x:row r="18" ht="36" customHeight="1">
      <x:c r="A18" s="36" t="str">
        <x:v>No.</x:v>
      </x:c>
      <x:c r="B18" s="36" t="str">
        <x:v>KPI Detail / What to Check</x:v>
      </x:c>
      <x:c r="C18" s="36" t="str">
        <x:v>Actual Result</x:v>
      </x:c>
      <x:c r="D18" s="36" t="str">
        <x:v>Achievement %
(0–100)</x:v>
      </x:c>
      <x:c r="E18" s="36" t="str">
        <x:v>Evidence / Proof</x:v>
      </x:c>
      <x:c r="F18" s="36" t="str">
        <x:v>Status</x:v>
      </x:c>
      <x:c r="G18" s="36" t="str">
        <x:v>Issue / Root Cause</x:v>
      </x:c>
      <x:c r="H18" s="36" t="str">
        <x:v>Action / Follow-up</x:v>
      </x:c>
    </x:row>
    <x:row r="19" ht="52" customHeight="1">
      <x:c r="A19" s="16" t="n">
        <x:v>1</x:v>
      </x:c>
      <x:c r="B19" s="16" t="str">
        <x:v>≥20 konten berkualitas terpublikasi/bulan sesuai content calendar.</x:v>
      </x:c>
      <x:c r="C19" s="54" t="str"/>
      <x:c r="D19" s="54" t="str"/>
      <x:c r="E19" s="54" t="str"/>
      <x:c r="F19" s="46" t="str">
        <x:f>IF(D19="","",IF(D19&gt;=90,"On Track",IF(D19&gt;=80,"Good",IF(D19&gt;=70,"Need Improvement","Priority"))))</x:f>
      </x:c>
      <x:c r="G19" s="54" t="str"/>
      <x:c r="H19" s="54" t="str"/>
    </x:row>
    <x:row r="20" ht="52" customHeight="1">
      <x:c r="A20" s="16" t="n">
        <x:v>2</x:v>
      </x:c>
      <x:c r="B20" s="16" t="str">
        <x:v>100% produk prioritas memiliki foto, deskripsi, harga, dan CTA yang valid.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3</x:v>
      </x:c>
      <x:c r="B21" s="16" t="str">
        <x:v>Keyword/SEO produk prioritas diperbarui sesuai rencana.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>
      <x:c r="A22" s="26" t="str">
        <x:v>Card Score</x:v>
      </x:c>
      <x:c r="B22" s="46" t="str">
        <x:f>IF(COUNT(D19:D21)=0,"",AVERAGE(D19:D21))</x:f>
      </x:c>
      <x:c r="C22" s="26" t="str">
        <x:v>Weighted Score</x:v>
      </x:c>
      <x:c r="D22" s="46" t="str">
        <x:f>IF(B22="","",B22*$B$14)</x:f>
      </x:c>
      <x:c r="E22" s="26" t="str">
        <x:v>Card Status</x:v>
      </x:c>
      <x:c r="F22" s="46" t="str">
        <x:f>IF(COUNT(D19:D21)=0,"Waiting for Input",IF(B22&gt;=90,"On Track",IF(B22&gt;=80,"Good",IF(B22&gt;=70,"Need Improvement","Priority"))))</x:f>
        <x:v>Waiting for Input</x:v>
      </x:c>
      <x:c r="G22" s="52"/>
      <x:c r="H22" s="52"/>
    </x:row>
    <x:row r="23" ht="34" customHeight="1">
      <x:c r="A23" s="26" t="str">
        <x:v>Overall Root Cause / Key Finding</x:v>
      </x:c>
      <x:c r="B23" s="54" t="str"/>
      <x:c r="C23" s="52"/>
      <x:c r="D23" s="52"/>
      <x:c r="E23" s="52"/>
      <x:c r="F23" s="52"/>
      <x:c r="G23" s="52"/>
      <x:c r="H23" s="52"/>
    </x:row>
    <x:row r="24" ht="34" customHeight="1">
      <x:c r="A24" s="26" t="str">
        <x:v>Action Plan, PIC &amp; Due Date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Reviewer Note</x:v>
      </x:c>
      <x:c r="B25" s="54" t="str"/>
      <x:c r="C25" s="52"/>
      <x:c r="D25" s="52"/>
      <x:c r="E25" s="52"/>
      <x:c r="F25" s="52"/>
      <x:c r="G25" s="52"/>
      <x:c r="H25" s="52"/>
    </x:row>
    <x:row r="26">
      <x:c r="A26" s="52"/>
      <x:c r="B26" s="52"/>
      <x:c r="C26" s="52"/>
      <x:c r="D26" s="52"/>
      <x:c r="E26" s="52"/>
      <x:c r="F26" s="52"/>
      <x:c r="G26" s="52"/>
      <x:c r="H26" s="52"/>
    </x:row>
    <x:row r="27" ht="24" customHeight="1">
      <x:c r="A27" s="62" t="str">
        <x:v>RC-KPI-SM-MKT-02 — Lead Capture &amp; Hand-off</x:v>
      </x:c>
      <x:c r="B27" s="52"/>
      <x:c r="C27" s="52"/>
      <x:c r="D27" s="52"/>
      <x:c r="E27" s="52"/>
      <x:c r="F27" s="52"/>
      <x:c r="G27" s="52"/>
      <x:c r="H27" s="52"/>
    </x:row>
    <x:row r="28" ht="24" customHeight="1">
      <x:c r="A28" s="26" t="str">
        <x:v>KPI / Phase</x:v>
      </x:c>
      <x:c r="B28" s="16" t="str">
        <x:v>Lead Capture &amp; Hand-off</x:v>
      </x:c>
      <x:c r="C28" s="52"/>
      <x:c r="D28" s="52"/>
      <x:c r="E28" s="52"/>
      <x:c r="F28" s="52"/>
      <x:c r="G28" s="52"/>
      <x:c r="H28" s="52"/>
    </x:row>
    <x:row r="29" ht="30" customHeight="1">
      <x:c r="A29" s="26" t="str">
        <x:v>Adjusted Weight</x:v>
      </x:c>
      <x:c r="B29" s="68" t="n">
        <x:v>0.28571428571428575</x:v>
      </x:c>
      <x:c r="C29" s="26" t="str">
        <x:v>WI Reference</x:v>
      </x:c>
      <x:c r="D29" s="16" t="str">
        <x:v>WI-SM-005
Bukti: CRM/leads list, timestamp hand-off, update status.</x:v>
      </x:c>
      <x:c r="E29" s="52"/>
      <x:c r="F29" s="52"/>
      <x:c r="G29" s="52"/>
      <x:c r="H29" s="52"/>
    </x:row>
    <x:row r="30" ht="36" customHeight="1">
      <x:c r="A30" s="26" t="str">
        <x:v>Objective</x:v>
      </x:c>
      <x:c r="B30" s="16" t="str">
        <x:v>Memastikan setiap leads tercatat, diverifikasi, dan diteruskan cepat kepada Sales.</x:v>
      </x:c>
      <x:c r="C30" s="52"/>
      <x:c r="D30" s="52"/>
      <x:c r="E30" s="52"/>
      <x:c r="F30" s="52"/>
      <x:c r="G30" s="52"/>
      <x:c r="H30" s="52"/>
    </x:row>
    <x:row r="31" ht="32" customHeight="1">
      <x:c r="A31" s="26" t="str">
        <x:v>Target Baseline</x:v>
      </x:c>
      <x:c r="B31" s="16" t="str">
        <x:v>100% capture &amp; handoff same day; 0 lead tanpa status.</x:v>
      </x:c>
      <x:c r="C31" s="52"/>
      <x:c r="D31" s="52"/>
      <x:c r="E31" s="52"/>
      <x:c r="F31" s="52"/>
      <x:c r="G31" s="52"/>
      <x:c r="H31" s="52"/>
    </x:row>
    <x:row r="32">
      <x:c r="A32" s="52"/>
      <x:c r="B32" s="52"/>
      <x:c r="C32" s="52"/>
      <x:c r="D32" s="52"/>
      <x:c r="E32" s="52"/>
      <x:c r="F32" s="52"/>
      <x:c r="G32" s="52"/>
      <x:c r="H32" s="52"/>
    </x:row>
    <x:row r="33" ht="36" customHeight="1">
      <x:c r="A33" s="36" t="str">
        <x:v>No.</x:v>
      </x:c>
      <x:c r="B33" s="36" t="str">
        <x:v>KPI Detail / What to Check</x:v>
      </x:c>
      <x:c r="C33" s="36" t="str">
        <x:v>Actual Result</x:v>
      </x:c>
      <x:c r="D33" s="36" t="str">
        <x:v>Achievement %
(0–100)</x:v>
      </x:c>
      <x:c r="E33" s="36" t="str">
        <x:v>Evidence / Proof</x:v>
      </x:c>
      <x:c r="F33" s="36" t="str">
        <x:v>Status</x:v>
      </x:c>
      <x:c r="G33" s="36" t="str">
        <x:v>Issue / Root Cause</x:v>
      </x:c>
      <x:c r="H33" s="36" t="str">
        <x:v>Action / Follow-up</x:v>
      </x:c>
    </x:row>
    <x:row r="34" ht="52" customHeight="1">
      <x:c r="A34" s="16" t="n">
        <x:v>1</x:v>
      </x:c>
      <x:c r="B34" s="16" t="str">
        <x:v>100% leads tercatat di CRM/database dengan data minimum.</x:v>
      </x:c>
      <x:c r="C34" s="54" t="str"/>
      <x:c r="D34" s="54" t="str"/>
      <x:c r="E34" s="54" t="str"/>
      <x:c r="F34" s="46" t="str">
        <x:f>IF(D34="","",IF(D34&gt;=90,"On Track",IF(D34&gt;=80,"Good",IF(D34&gt;=70,"Need Improvement","Priority"))))</x:f>
      </x:c>
      <x:c r="G34" s="54" t="str"/>
      <x:c r="H34" s="54" t="str"/>
    </x:row>
    <x:row r="35" ht="52" customHeight="1">
      <x:c r="A35" s="16" t="n">
        <x:v>2</x:v>
      </x:c>
      <x:c r="B35" s="16" t="str">
        <x:v>100% leads diverifikasi dan di-hand-off ke Sales pada hari yang sama.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3</x:v>
      </x:c>
      <x:c r="B36" s="16" t="str">
        <x:v>0 leads duplikat/terlewat tanpa status.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>
      <x:c r="A37" s="26" t="str">
        <x:v>Card Score</x:v>
      </x:c>
      <x:c r="B37" s="46" t="str">
        <x:f>IF(COUNT(D34:D36)=0,"",AVERAGE(D34:D36))</x:f>
      </x:c>
      <x:c r="C37" s="26" t="str">
        <x:v>Weighted Score</x:v>
      </x:c>
      <x:c r="D37" s="46" t="str">
        <x:f>IF(B37="","",B37*$B$29)</x:f>
      </x:c>
      <x:c r="E37" s="26" t="str">
        <x:v>Card Status</x:v>
      </x:c>
      <x:c r="F37" s="46" t="str">
        <x:f>IF(COUNT(D34:D36)=0,"Waiting for Input",IF(B37&gt;=90,"On Track",IF(B37&gt;=80,"Good",IF(B37&gt;=70,"Need Improvement","Priority"))))</x:f>
        <x:v>Waiting for Input</x:v>
      </x:c>
      <x:c r="G37" s="52"/>
      <x:c r="H37" s="52"/>
    </x:row>
    <x:row r="38" ht="34" customHeight="1">
      <x:c r="A38" s="26" t="str">
        <x:v>Overall Root Cause / Key Finding</x:v>
      </x:c>
      <x:c r="B38" s="54" t="str"/>
      <x:c r="C38" s="52"/>
      <x:c r="D38" s="52"/>
      <x:c r="E38" s="52"/>
      <x:c r="F38" s="52"/>
      <x:c r="G38" s="52"/>
      <x:c r="H38" s="52"/>
    </x:row>
    <x:row r="39" ht="34" customHeight="1">
      <x:c r="A39" s="26" t="str">
        <x:v>Action Plan, PIC &amp; Due Date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Reviewer Note</x:v>
      </x:c>
      <x:c r="B40" s="54" t="str"/>
      <x:c r="C40" s="52"/>
      <x:c r="D40" s="52"/>
      <x:c r="E40" s="52"/>
      <x:c r="F40" s="52"/>
      <x:c r="G40" s="52"/>
      <x:c r="H40" s="52"/>
    </x:row>
    <x:row r="41">
      <x:c r="A41" s="52"/>
      <x:c r="B41" s="52"/>
      <x:c r="C41" s="52"/>
      <x:c r="D41" s="52"/>
      <x:c r="E41" s="52"/>
      <x:c r="F41" s="52"/>
      <x:c r="G41" s="52"/>
      <x:c r="H41" s="52"/>
    </x:row>
    <x:row r="42" ht="24" customHeight="1">
      <x:c r="A42" s="62" t="str">
        <x:v>RC-KPI-SM-MKT-03 — Riset Pasar &amp; Insight</x:v>
      </x:c>
      <x:c r="B42" s="52"/>
      <x:c r="C42" s="52"/>
      <x:c r="D42" s="52"/>
      <x:c r="E42" s="52"/>
      <x:c r="F42" s="52"/>
      <x:c r="G42" s="52"/>
      <x:c r="H42" s="52"/>
    </x:row>
    <x:row r="43" ht="24" customHeight="1">
      <x:c r="A43" s="26" t="str">
        <x:v>KPI / Phase</x:v>
      </x:c>
      <x:c r="B43" s="16" t="str">
        <x:v>Riset Pasar &amp; Insight</x:v>
      </x:c>
      <x:c r="C43" s="52"/>
      <x:c r="D43" s="52"/>
      <x:c r="E43" s="52"/>
      <x:c r="F43" s="52"/>
      <x:c r="G43" s="52"/>
      <x:c r="H43" s="52"/>
    </x:row>
    <x:row r="44" ht="30" customHeight="1">
      <x:c r="A44" s="26" t="str">
        <x:v>Adjusted Weight</x:v>
      </x:c>
      <x:c r="B44" s="68" t="n">
        <x:v>0.2142857142857143</x:v>
      </x:c>
      <x:c r="C44" s="26" t="str">
        <x:v>WI Reference</x:v>
      </x:c>
      <x:c r="D44" s="16" t="str">
        <x:v>WI-SM-001, WI-SM-012
Bukti: laporan riset, handover R&amp;D, rekap analitik.</x:v>
      </x:c>
      <x:c r="E44" s="52"/>
      <x:c r="F44" s="52"/>
      <x:c r="G44" s="52"/>
      <x:c r="H44" s="52"/>
    </x:row>
    <x:row r="45" ht="36" customHeight="1">
      <x:c r="A45" s="26" t="str">
        <x:v>Objective</x:v>
      </x:c>
      <x:c r="B45" s="16" t="str">
        <x:v>Menyediakan insight pasar yang dapat ditindaklanjuti untuk konten, campaign, dan pengembangan produk.</x:v>
      </x:c>
      <x:c r="C45" s="52"/>
      <x:c r="D45" s="52"/>
      <x:c r="E45" s="52"/>
      <x:c r="F45" s="52"/>
      <x:c r="G45" s="52"/>
      <x:c r="H45" s="52"/>
    </x:row>
    <x:row r="46" ht="32" customHeight="1">
      <x:c r="A46" s="26" t="str">
        <x:v>Target Baseline</x:v>
      </x:c>
      <x:c r="B46" s="16" t="str">
        <x:v>1 laporan/bulan; 100% insight relevan dihandover; 3 rekomendasi per laporan.</x:v>
      </x:c>
      <x:c r="C46" s="52"/>
      <x:c r="D46" s="52"/>
      <x:c r="E46" s="52"/>
      <x:c r="F46" s="52"/>
      <x:c r="G46" s="52"/>
      <x:c r="H46" s="52"/>
    </x:row>
    <x:row r="47">
      <x:c r="A47" s="52"/>
      <x:c r="B47" s="52"/>
      <x:c r="C47" s="52"/>
      <x:c r="D47" s="52"/>
      <x:c r="E47" s="52"/>
      <x:c r="F47" s="52"/>
      <x:c r="G47" s="52"/>
      <x:c r="H47" s="52"/>
    </x:row>
    <x:row r="48" ht="36" customHeight="1">
      <x:c r="A48" s="36" t="str">
        <x:v>No.</x:v>
      </x:c>
      <x:c r="B48" s="36" t="str">
        <x:v>KPI Detail / What to Check</x:v>
      </x:c>
      <x:c r="C48" s="36" t="str">
        <x:v>Actual Result</x:v>
      </x:c>
      <x:c r="D48" s="36" t="str">
        <x:v>Achievement %
(0–100)</x:v>
      </x:c>
      <x:c r="E48" s="36" t="str">
        <x:v>Evidence / Proof</x:v>
      </x:c>
      <x:c r="F48" s="36" t="str">
        <x:v>Status</x:v>
      </x:c>
      <x:c r="G48" s="36" t="str">
        <x:v>Issue / Root Cause</x:v>
      </x:c>
      <x:c r="H48" s="36" t="str">
        <x:v>Action / Follow-up</x:v>
      </x:c>
    </x:row>
    <x:row r="49" ht="52" customHeight="1">
      <x:c r="A49" s="16" t="n">
        <x:v>1</x:v>
      </x:c>
      <x:c r="B49" s="16" t="str">
        <x:v>Minimal 1 laporan tren/market insight per bulan.</x:v>
      </x:c>
      <x:c r="C49" s="54" t="str"/>
      <x:c r="D49" s="54" t="str"/>
      <x:c r="E49" s="54" t="str"/>
      <x:c r="F49" s="46" t="str">
        <x:f>IF(D49="","",IF(D49&gt;=90,"On Track",IF(D49&gt;=80,"Good",IF(D49&gt;=70,"Need Improvement","Priority"))))</x:f>
      </x:c>
      <x:c r="G49" s="54" t="str"/>
      <x:c r="H49" s="54" t="str"/>
    </x:row>
    <x:row r="50" ht="52" customHeight="1">
      <x:c r="A50" s="16" t="n">
        <x:v>2</x:v>
      </x:c>
      <x:c r="B50" s="16" t="str">
        <x:v>Insight produk relevan diserahkan ke R&amp;D.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3</x:v>
      </x:c>
      <x:c r="B51" s="16" t="str">
        <x:v>Temuan performa konten/campaign dicatat sebagai rekomendasi bulan berikutnya.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>
      <x:c r="A52" s="26" t="str">
        <x:v>Card Score</x:v>
      </x:c>
      <x:c r="B52" s="46" t="str">
        <x:f>IF(COUNT(D49:D51)=0,"",AVERAGE(D49:D51))</x:f>
      </x:c>
      <x:c r="C52" s="26" t="str">
        <x:v>Weighted Score</x:v>
      </x:c>
      <x:c r="D52" s="46" t="str">
        <x:f>IF(B52="","",B52*$B$44)</x:f>
      </x:c>
      <x:c r="E52" s="26" t="str">
        <x:v>Card Status</x:v>
      </x:c>
      <x:c r="F52" s="46" t="str">
        <x:f>IF(COUNT(D49:D51)=0,"Waiting for Input",IF(B52&gt;=90,"On Track",IF(B52&gt;=80,"Good",IF(B52&gt;=70,"Need Improvement","Priority"))))</x:f>
        <x:v>Waiting for Input</x:v>
      </x:c>
      <x:c r="G52" s="52"/>
      <x:c r="H52" s="52"/>
    </x:row>
    <x:row r="53" ht="34" customHeight="1">
      <x:c r="A53" s="26" t="str">
        <x:v>Overall Root Cause / Key Finding</x:v>
      </x:c>
      <x:c r="B53" s="54" t="str"/>
      <x:c r="C53" s="52"/>
      <x:c r="D53" s="52"/>
      <x:c r="E53" s="52"/>
      <x:c r="F53" s="52"/>
      <x:c r="G53" s="52"/>
      <x:c r="H53" s="52"/>
    </x:row>
    <x:row r="54" ht="34" customHeight="1">
      <x:c r="A54" s="26" t="str">
        <x:v>Action Plan, PIC &amp; Due Date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Reviewer Note</x:v>
      </x:c>
      <x:c r="B55" s="54" t="str"/>
      <x:c r="C55" s="52"/>
      <x:c r="D55" s="52"/>
      <x:c r="E55" s="52"/>
      <x:c r="F55" s="52"/>
      <x:c r="G55" s="52"/>
      <x:c r="H55" s="52"/>
    </x:row>
    <x:row r="56">
      <x:c r="A56" s="52"/>
      <x:c r="B56" s="52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</x:sheetData>
  <x:mergeCells>
    <x:mergeCell ref="A1:H1"/>
    <x:mergeCell ref="A5:H5"/>
    <x:mergeCell ref="A12:H12"/>
    <x:mergeCell ref="B13:H13"/>
    <x:mergeCell ref="D14:H14"/>
    <x:mergeCell ref="B15:H15"/>
    <x:mergeCell ref="B16:H16"/>
    <x:mergeCell ref="F22:H22"/>
    <x:mergeCell ref="B23:H23"/>
    <x:mergeCell ref="B24:H24"/>
    <x:mergeCell ref="B25:H25"/>
    <x:mergeCell ref="A27:H27"/>
    <x:mergeCell ref="B28:H28"/>
    <x:mergeCell ref="D29:H29"/>
    <x:mergeCell ref="B30:H30"/>
    <x:mergeCell ref="B31:H31"/>
    <x:mergeCell ref="F37:H37"/>
    <x:mergeCell ref="B38:H38"/>
    <x:mergeCell ref="B39:H39"/>
    <x:mergeCell ref="B40:H40"/>
    <x:mergeCell ref="A42:H42"/>
    <x:mergeCell ref="B43:H43"/>
    <x:mergeCell ref="D44:H44"/>
    <x:mergeCell ref="B45:H45"/>
    <x:mergeCell ref="B46:H46"/>
    <x:mergeCell ref="F52:H52"/>
    <x:mergeCell ref="B53:H53"/>
    <x:mergeCell ref="B54:H54"/>
    <x:mergeCell ref="B55:H55"/>
    <x:mergeCell ref="A10:B10"/>
    <x:mergeCell ref="G10:H10"/>
    <x:mergeCell ref="A11:H11"/>
  </x:mergeCells>
  <x:conditionalFormatting sqref="D19:D19">
    <x:cfRule type="cellIs" dxfId="258" priority="1" operator="greaterThanOrEqual">
      <x:formula>90</x:formula>
    </x:cfRule>
    <x:cfRule type="cellIs" dxfId="259" priority="2" operator="between">
      <x:formula>70</x:formula>
    </x:cfRule>
    <x:cfRule type="cellIs" dxfId="260" priority="3" operator="lessThan">
      <x:formula>70</x:formula>
    </x:cfRule>
  </x:conditionalFormatting>
  <x:conditionalFormatting sqref="D20:D20">
    <x:cfRule type="cellIs" dxfId="261" priority="4" operator="greaterThanOrEqual">
      <x:formula>90</x:formula>
    </x:cfRule>
    <x:cfRule type="cellIs" dxfId="262" priority="5" operator="between">
      <x:formula>70</x:formula>
    </x:cfRule>
    <x:cfRule type="cellIs" dxfId="263" priority="6" operator="lessThan">
      <x:formula>70</x:formula>
    </x:cfRule>
  </x:conditionalFormatting>
  <x:conditionalFormatting sqref="D21:D21">
    <x:cfRule type="cellIs" dxfId="264" priority="7" operator="greaterThanOrEqual">
      <x:formula>90</x:formula>
    </x:cfRule>
    <x:cfRule type="cellIs" dxfId="265" priority="8" operator="between">
      <x:formula>70</x:formula>
    </x:cfRule>
    <x:cfRule type="cellIs" dxfId="266" priority="9" operator="lessThan">
      <x:formula>70</x:formula>
    </x:cfRule>
  </x:conditionalFormatting>
  <x:conditionalFormatting sqref="D34:D34">
    <x:cfRule type="cellIs" dxfId="267" priority="10" operator="greaterThanOrEqual">
      <x:formula>90</x:formula>
    </x:cfRule>
    <x:cfRule type="cellIs" dxfId="268" priority="11" operator="between">
      <x:formula>70</x:formula>
    </x:cfRule>
    <x:cfRule type="cellIs" dxfId="269" priority="12" operator="lessThan">
      <x:formula>70</x:formula>
    </x:cfRule>
  </x:conditionalFormatting>
  <x:conditionalFormatting sqref="D35:D35">
    <x:cfRule type="cellIs" dxfId="270" priority="13" operator="greaterThanOrEqual">
      <x:formula>90</x:formula>
    </x:cfRule>
    <x:cfRule type="cellIs" dxfId="271" priority="14" operator="between">
      <x:formula>70</x:formula>
    </x:cfRule>
    <x:cfRule type="cellIs" dxfId="272" priority="15" operator="lessThan">
      <x:formula>70</x:formula>
    </x:cfRule>
  </x:conditionalFormatting>
  <x:conditionalFormatting sqref="D36:D36">
    <x:cfRule type="cellIs" dxfId="273" priority="16" operator="greaterThanOrEqual">
      <x:formula>90</x:formula>
    </x:cfRule>
    <x:cfRule type="cellIs" dxfId="274" priority="17" operator="between">
      <x:formula>70</x:formula>
    </x:cfRule>
    <x:cfRule type="cellIs" dxfId="275" priority="18" operator="lessThan">
      <x:formula>70</x:formula>
    </x:cfRule>
  </x:conditionalFormatting>
  <x:conditionalFormatting sqref="D49:D49">
    <x:cfRule type="cellIs" dxfId="276" priority="19" operator="greaterThanOrEqual">
      <x:formula>90</x:formula>
    </x:cfRule>
    <x:cfRule type="cellIs" dxfId="277" priority="20" operator="between">
      <x:formula>70</x:formula>
    </x:cfRule>
    <x:cfRule type="cellIs" dxfId="278" priority="21" operator="lessThan">
      <x:formula>70</x:formula>
    </x:cfRule>
  </x:conditionalFormatting>
  <x:conditionalFormatting sqref="D50:D50">
    <x:cfRule type="cellIs" dxfId="279" priority="22" operator="greaterThanOrEqual">
      <x:formula>90</x:formula>
    </x:cfRule>
    <x:cfRule type="cellIs" dxfId="280" priority="23" operator="between">
      <x:formula>70</x:formula>
    </x:cfRule>
    <x:cfRule type="cellIs" dxfId="281" priority="24" operator="lessThan">
      <x:formula>70</x:formula>
    </x:cfRule>
  </x:conditionalFormatting>
  <x:conditionalFormatting sqref="D51:D51">
    <x:cfRule type="cellIs" dxfId="282" priority="25" operator="greaterThanOrEqual">
      <x:formula>90</x:formula>
    </x:cfRule>
    <x:cfRule type="cellIs" dxfId="283" priority="26" operator="between">
      <x:formula>70</x:formula>
    </x:cfRule>
    <x:cfRule type="cellIs" dxfId="284" priority="27" operator="lessThan">
      <x:formula>70</x:formula>
    </x:cfRule>
  </x:conditionalFormatting>
  <x:dataValidations count="9">
    <x:dataValidation type="list" sqref="D19">
      <x:formula1>"0,5,10,15,20,25,30,35,40,45,50,55,60,65,70,75,80,85,90,95,100"</x:formula1>
    </x:dataValidation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34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49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STAFF SALES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Sales &amp; Marketing</x:v>
      </x:c>
      <x:c r="C2" s="26" t="str">
        <x:v>KPI Code</x:v>
      </x:c>
      <x:c r="D2" s="16" t="str">
        <x:v>KPI-SM-SLS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Kepala Sales &amp; Marketing</x:v>
      </x:c>
      <x:c r="C3" s="26" t="str">
        <x:v>Headcount Reference</x:v>
      </x:c>
      <x:c r="D3" s="16" t="str">
        <x:v>2</x:v>
      </x:c>
      <x:c r="E3" s="26" t="str">
        <x:v>Applicable KPI</x:v>
      </x:c>
      <x:c r="F3" s="16" t="n">
        <x:v>3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Respons Customer, Closing &amp; Omzet</x:v>
      </x:c>
      <x:c r="C7" s="68" t="n">
        <x:v>0.4666666666666666</x:v>
      </x:c>
      <x:c r="D7" s="46" t="n">
        <x:f>B22</x:f>
        <x:v>0</x:v>
      </x:c>
      <x:c r="E7" s="46" t="n">
        <x:f>D22</x:f>
        <x:v>0</x:v>
      </x:c>
      <x:c r="F7" s="46" t="str">
        <x:f>F22</x:f>
        <x:v>Waiting for Input</x:v>
      </x:c>
      <x:c r="G7" s="16" t="str">
        <x:v>WI-SM-007, WI-SM-008
Bukti: CRM/chat log, rekap sales, proposal/quotation.</x:v>
      </x:c>
      <x:c r="H7" s="16" t="str">
        <x:v>RC-KPI-SM-SLS-01</x:v>
      </x:c>
    </x:row>
    <x:row r="8" ht="36" customHeight="1">
      <x:c r="A8" s="16" t="n">
        <x:v>2</x:v>
      </x:c>
      <x:c r="B8" s="16" t="str">
        <x:v>Akurasi Spek &amp; Handover ke Operations</x:v>
      </x:c>
      <x:c r="C8" s="68" t="n">
        <x:v>0.3333333333333333</x:v>
      </x:c>
      <x:c r="D8" s="46" t="n">
        <x:f>B37</x:f>
        <x:v>0</x:v>
      </x:c>
      <x:c r="E8" s="46" t="n">
        <x:f>D37</x:f>
        <x:v>0</x:v>
      </x:c>
      <x:c r="F8" s="46" t="str">
        <x:f>F37</x:f>
        <x:v>Waiting for Input</x:v>
      </x:c>
      <x:c r="G8" s="16" t="str">
        <x:v>WI-SM-007, WI-SM-008, WI-SM-009
Bukti: form order, bukti DP, konfirmasi Admin Ops, log revisi.</x:v>
      </x:c>
      <x:c r="H8" s="16" t="str">
        <x:v>RC-KPI-SM-SLS-02</x:v>
      </x:c>
    </x:row>
    <x:row r="9" ht="36" customHeight="1">
      <x:c r="A9" s="16" t="n">
        <x:v>3</x:v>
      </x:c>
      <x:c r="B9" s="16" t="str">
        <x:v>After Sales, Komplain &amp; Retensi</x:v>
      </x:c>
      <x:c r="C9" s="68" t="n">
        <x:v>0.19999999999999998</x:v>
      </x:c>
      <x:c r="D9" s="46" t="n">
        <x:f>B52</x:f>
        <x:v>0</x:v>
      </x:c>
      <x:c r="E9" s="46" t="n">
        <x:f>D52</x:f>
        <x:v>0</x:v>
      </x:c>
      <x:c r="F9" s="46" t="str">
        <x:f>F52</x:f>
        <x:v>Waiting for Input</x:v>
      </x:c>
      <x:c r="G9" s="16" t="str">
        <x:v>WI-SM-010, WI-SM-011, WI-SM-012
Bukti: komplain log, bukti komunikasi, solusi/close record.</x:v>
      </x:c>
      <x:c r="H9" s="16" t="str">
        <x:v>RC-KPI-SM-SLS-03</x:v>
      </x:c>
    </x:row>
    <x:row r="10">
      <x:c r="A10" s="62" t="str">
        <x:v>Overall Role Score</x:v>
      </x:c>
      <x:c r="B10" s="52"/>
      <x:c r="C10" s="26" t="str">
        <x:v>Total Weight</x:v>
      </x:c>
      <x:c r="D10" s="68" t="n">
        <x:f>SUM(C7:C9)</x:f>
        <x:v>0.9999999999999999</x:v>
      </x:c>
      <x:c r="E10" s="46" t="str">
        <x:f>IF(COUNT(D19:D21,D34:D36,D49:D51)=0,"",SUM(E7:E9))</x:f>
      </x:c>
      <x:c r="F10" s="26" t="str">
        <x:v>Overall Status</x:v>
      </x:c>
      <x:c r="G10" s="46" t="str">
        <x:f>IF(COUNT(D19:D21,D34:D36,D49:D51)=0,"Waiting for Input",IF(E10&gt;=90,"On Track",IF(E10&gt;=80,"Good",IF(E10&gt;=70,"Need Improvement","Priority"))))</x:f>
        <x:v>Waiting for Input</x:v>
      </x:c>
      <x:c r="H10" s="52"/>
    </x:row>
    <x:row r="11" ht="22" customHeight="1">
      <x:c r="A11" s="16" t="str">
        <x:v>Fill yellow cells only. Score output is calculated from the average Achievement % of KPI details in each card.</x:v>
      </x:c>
      <x:c r="B11" s="52"/>
      <x:c r="C11" s="52"/>
      <x:c r="D11" s="52"/>
      <x:c r="E11" s="52"/>
      <x:c r="F11" s="52"/>
      <x:c r="G11" s="52"/>
      <x:c r="H11" s="52"/>
    </x:row>
    <x:row r="12" ht="24" customHeight="1">
      <x:c r="A12" s="62" t="str">
        <x:v>RC-KPI-SM-SLS-01 — Respons Customer, Closing &amp; Omzet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26" t="str">
        <x:v>KPI / Phase</x:v>
      </x:c>
      <x:c r="B13" s="16" t="str">
        <x:v>Respons Customer, Closing &amp; Omzet</x:v>
      </x:c>
      <x:c r="C13" s="52"/>
      <x:c r="D13" s="52"/>
      <x:c r="E13" s="52"/>
      <x:c r="F13" s="52"/>
      <x:c r="G13" s="52"/>
      <x:c r="H13" s="52"/>
    </x:row>
    <x:row r="14" ht="30" customHeight="1">
      <x:c r="A14" s="26" t="str">
        <x:v>Adjusted Weight</x:v>
      </x:c>
      <x:c r="B14" s="68" t="n">
        <x:v>0.4666666666666666</x:v>
      </x:c>
      <x:c r="C14" s="26" t="str">
        <x:v>WI Reference</x:v>
      </x:c>
      <x:c r="D14" s="16" t="str">
        <x:v>WI-SM-007, WI-SM-008
Bukti: CRM/chat log, rekap sales, proposal/quotation.</x:v>
      </x:c>
      <x:c r="E14" s="52"/>
      <x:c r="F14" s="52"/>
      <x:c r="G14" s="52"/>
      <x:c r="H14" s="52"/>
    </x:row>
    <x:row r="15" ht="36" customHeight="1">
      <x:c r="A15" s="26" t="str">
        <x:v>Objective</x:v>
      </x:c>
      <x:c r="B15" s="16" t="str">
        <x:v>Merespons peluang secara cepat dan mengonversi kebutuhan customer menjadi penawaran serta order yang terukur.</x:v>
      </x:c>
      <x:c r="C15" s="52"/>
      <x:c r="D15" s="52"/>
      <x:c r="E15" s="52"/>
      <x:c r="F15" s="52"/>
      <x:c r="G15" s="52"/>
      <x:c r="H15" s="52"/>
    </x:row>
    <x:row r="16" ht="32" customHeight="1">
      <x:c r="A16" s="26" t="str">
        <x:v>Target Baseline</x:v>
      </x:c>
      <x:c r="B16" s="16" t="str">
        <x:v>100% respons ≤2 jam; closing rate ≥30%; ≥100% target omzet individu.</x:v>
      </x:c>
      <x:c r="C16" s="52"/>
      <x:c r="D16" s="52"/>
      <x:c r="E16" s="52"/>
      <x:c r="F16" s="52"/>
      <x:c r="G16" s="52"/>
      <x:c r="H16" s="52"/>
    </x:row>
    <x:row r="17">
      <x:c r="A17" s="52"/>
      <x:c r="B17" s="52"/>
      <x:c r="C17" s="52"/>
      <x:c r="D17" s="52"/>
      <x:c r="E17" s="52"/>
      <x:c r="F17" s="52"/>
      <x:c r="G17" s="52"/>
      <x:c r="H17" s="52"/>
    </x:row>
    <x:row r="18" ht="36" customHeight="1">
      <x:c r="A18" s="36" t="str">
        <x:v>No.</x:v>
      </x:c>
      <x:c r="B18" s="36" t="str">
        <x:v>KPI Detail / What to Check</x:v>
      </x:c>
      <x:c r="C18" s="36" t="str">
        <x:v>Actual Result</x:v>
      </x:c>
      <x:c r="D18" s="36" t="str">
        <x:v>Achievement %
(0–100)</x:v>
      </x:c>
      <x:c r="E18" s="36" t="str">
        <x:v>Evidence / Proof</x:v>
      </x:c>
      <x:c r="F18" s="36" t="str">
        <x:v>Status</x:v>
      </x:c>
      <x:c r="G18" s="36" t="str">
        <x:v>Issue / Root Cause</x:v>
      </x:c>
      <x:c r="H18" s="36" t="str">
        <x:v>Action / Follow-up</x:v>
      </x:c>
    </x:row>
    <x:row r="19" ht="52" customHeight="1">
      <x:c r="A19" s="16" t="n">
        <x:v>1</x:v>
      </x:c>
      <x:c r="B19" s="16" t="str">
        <x:v>100% chat/leads dibalas maksimal 2 jam kerja.</x:v>
      </x:c>
      <x:c r="C19" s="54" t="str"/>
      <x:c r="D19" s="54" t="str"/>
      <x:c r="E19" s="54" t="str"/>
      <x:c r="F19" s="46" t="str">
        <x:f>IF(D19="","",IF(D19&gt;=90,"On Track",IF(D19&gt;=80,"Good",IF(D19&gt;=70,"Need Improvement","Priority"))))</x:f>
      </x:c>
      <x:c r="G19" s="54" t="str"/>
      <x:c r="H19" s="54" t="str"/>
    </x:row>
    <x:row r="20" ht="52" customHeight="1">
      <x:c r="A20" s="16" t="n">
        <x:v>2</x:v>
      </x:c>
      <x:c r="B20" s="16" t="str">
        <x:v>Closing rate minimal 30% dari leads yang sudah memenuhi kualifikasi.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3</x:v>
      </x:c>
      <x:c r="B21" s="16" t="str">
        <x:v>Pencapaian omzet individu sesuai target bulanan yang ditetapkan.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>
      <x:c r="A22" s="26" t="str">
        <x:v>Card Score</x:v>
      </x:c>
      <x:c r="B22" s="46" t="str">
        <x:f>IF(COUNT(D19:D21)=0,"",AVERAGE(D19:D21))</x:f>
      </x:c>
      <x:c r="C22" s="26" t="str">
        <x:v>Weighted Score</x:v>
      </x:c>
      <x:c r="D22" s="46" t="str">
        <x:f>IF(B22="","",B22*$B$14)</x:f>
      </x:c>
      <x:c r="E22" s="26" t="str">
        <x:v>Card Status</x:v>
      </x:c>
      <x:c r="F22" s="46" t="str">
        <x:f>IF(COUNT(D19:D21)=0,"Waiting for Input",IF(B22&gt;=90,"On Track",IF(B22&gt;=80,"Good",IF(B22&gt;=70,"Need Improvement","Priority"))))</x:f>
        <x:v>Waiting for Input</x:v>
      </x:c>
      <x:c r="G22" s="52"/>
      <x:c r="H22" s="52"/>
    </x:row>
    <x:row r="23" ht="34" customHeight="1">
      <x:c r="A23" s="26" t="str">
        <x:v>Overall Root Cause / Key Finding</x:v>
      </x:c>
      <x:c r="B23" s="54" t="str"/>
      <x:c r="C23" s="52"/>
      <x:c r="D23" s="52"/>
      <x:c r="E23" s="52"/>
      <x:c r="F23" s="52"/>
      <x:c r="G23" s="52"/>
      <x:c r="H23" s="52"/>
    </x:row>
    <x:row r="24" ht="34" customHeight="1">
      <x:c r="A24" s="26" t="str">
        <x:v>Action Plan, PIC &amp; Due Date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Reviewer Note</x:v>
      </x:c>
      <x:c r="B25" s="54" t="str"/>
      <x:c r="C25" s="52"/>
      <x:c r="D25" s="52"/>
      <x:c r="E25" s="52"/>
      <x:c r="F25" s="52"/>
      <x:c r="G25" s="52"/>
      <x:c r="H25" s="52"/>
    </x:row>
    <x:row r="26">
      <x:c r="A26" s="52"/>
      <x:c r="B26" s="52"/>
      <x:c r="C26" s="52"/>
      <x:c r="D26" s="52"/>
      <x:c r="E26" s="52"/>
      <x:c r="F26" s="52"/>
      <x:c r="G26" s="52"/>
      <x:c r="H26" s="52"/>
    </x:row>
    <x:row r="27" ht="24" customHeight="1">
      <x:c r="A27" s="62" t="str">
        <x:v>RC-KPI-SM-SLS-02 — Akurasi Spek &amp; Handover ke Operations</x:v>
      </x:c>
      <x:c r="B27" s="52"/>
      <x:c r="C27" s="52"/>
      <x:c r="D27" s="52"/>
      <x:c r="E27" s="52"/>
      <x:c r="F27" s="52"/>
      <x:c r="G27" s="52"/>
      <x:c r="H27" s="52"/>
    </x:row>
    <x:row r="28" ht="24" customHeight="1">
      <x:c r="A28" s="26" t="str">
        <x:v>KPI / Phase</x:v>
      </x:c>
      <x:c r="B28" s="16" t="str">
        <x:v>Akurasi Spek &amp; Handover ke Operations</x:v>
      </x:c>
      <x:c r="C28" s="52"/>
      <x:c r="D28" s="52"/>
      <x:c r="E28" s="52"/>
      <x:c r="F28" s="52"/>
      <x:c r="G28" s="52"/>
      <x:c r="H28" s="52"/>
    </x:row>
    <x:row r="29" ht="30" customHeight="1">
      <x:c r="A29" s="26" t="str">
        <x:v>Adjusted Weight</x:v>
      </x:c>
      <x:c r="B29" s="68" t="n">
        <x:v>0.3333333333333333</x:v>
      </x:c>
      <x:c r="C29" s="26" t="str">
        <x:v>WI Reference</x:v>
      </x:c>
      <x:c r="D29" s="16" t="str">
        <x:v>WI-SM-007, WI-SM-008, WI-SM-009
Bukti: form order, bukti DP, konfirmasi Admin Ops, log revisi.</x:v>
      </x:c>
      <x:c r="E29" s="52"/>
      <x:c r="F29" s="52"/>
      <x:c r="G29" s="52"/>
      <x:c r="H29" s="52"/>
    </x:row>
    <x:row r="30" ht="36" customHeight="1">
      <x:c r="A30" s="26" t="str">
        <x:v>Objective</x:v>
      </x:c>
      <x:c r="B30" s="16" t="str">
        <x:v>Menjamin setiap order closing memiliki spesifikasi dan bukti pembayaran yang lengkap sebelum masuk proses Admin Operations.</x:v>
      </x:c>
      <x:c r="C30" s="52"/>
      <x:c r="D30" s="52"/>
      <x:c r="E30" s="52"/>
      <x:c r="F30" s="52"/>
      <x:c r="G30" s="52"/>
      <x:c r="H30" s="52"/>
    </x:row>
    <x:row r="31" ht="32" customHeight="1">
      <x:c r="A31" s="26" t="str">
        <x:v>Target Baseline</x:v>
      </x:c>
      <x:c r="B31" s="16" t="str">
        <x:v>100% form lengkap &amp; payment check; 0 bypass WO; 0 revisi WO akibat data kritis.</x:v>
      </x:c>
      <x:c r="C31" s="52"/>
      <x:c r="D31" s="52"/>
      <x:c r="E31" s="52"/>
      <x:c r="F31" s="52"/>
      <x:c r="G31" s="52"/>
      <x:c r="H31" s="52"/>
    </x:row>
    <x:row r="32">
      <x:c r="A32" s="52"/>
      <x:c r="B32" s="52"/>
      <x:c r="C32" s="52"/>
      <x:c r="D32" s="52"/>
      <x:c r="E32" s="52"/>
      <x:c r="F32" s="52"/>
      <x:c r="G32" s="52"/>
      <x:c r="H32" s="52"/>
    </x:row>
    <x:row r="33" ht="36" customHeight="1">
      <x:c r="A33" s="36" t="str">
        <x:v>No.</x:v>
      </x:c>
      <x:c r="B33" s="36" t="str">
        <x:v>KPI Detail / What to Check</x:v>
      </x:c>
      <x:c r="C33" s="36" t="str">
        <x:v>Actual Result</x:v>
      </x:c>
      <x:c r="D33" s="36" t="str">
        <x:v>Achievement %
(0–100)</x:v>
      </x:c>
      <x:c r="E33" s="36" t="str">
        <x:v>Evidence / Proof</x:v>
      </x:c>
      <x:c r="F33" s="36" t="str">
        <x:v>Status</x:v>
      </x:c>
      <x:c r="G33" s="36" t="str">
        <x:v>Issue / Root Cause</x:v>
      </x:c>
      <x:c r="H33" s="36" t="str">
        <x:v>Action / Follow-up</x:v>
      </x:c>
    </x:row>
    <x:row r="34" ht="52" customHeight="1">
      <x:c r="A34" s="16" t="n">
        <x:v>1</x:v>
      </x:c>
      <x:c r="B34" s="16" t="str">
        <x:v>100% order closing menggunakan Form Spesifikasi Pesanan lengkap.</x:v>
      </x:c>
      <x:c r="C34" s="54" t="str"/>
      <x:c r="D34" s="54" t="str"/>
      <x:c r="E34" s="54" t="str"/>
      <x:c r="F34" s="46" t="str">
        <x:f>IF(D34="","",IF(D34&gt;=90,"On Track",IF(D34&gt;=80,"Good",IF(D34&gt;=70,"Need Improvement","Priority"))))</x:f>
      </x:c>
      <x:c r="G34" s="54" t="str"/>
      <x:c r="H34" s="54" t="str"/>
    </x:row>
    <x:row r="35" ht="52" customHeight="1">
      <x:c r="A35" s="16" t="n">
        <x:v>2</x:v>
      </x:c>
      <x:c r="B35" s="16" t="str">
        <x:v>100% DP/pembayaran dikonfirmasi sesuai ketentuan.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3</x:v>
      </x:c>
      <x:c r="B36" s="16" t="str">
        <x:v>0 instruksi langsung ke Operator tanpa WO dan 0 revisi WO akibat data kritis yang terlewat.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>
      <x:c r="A37" s="26" t="str">
        <x:v>Card Score</x:v>
      </x:c>
      <x:c r="B37" s="46" t="str">
        <x:f>IF(COUNT(D34:D36)=0,"",AVERAGE(D34:D36))</x:f>
      </x:c>
      <x:c r="C37" s="26" t="str">
        <x:v>Weighted Score</x:v>
      </x:c>
      <x:c r="D37" s="46" t="str">
        <x:f>IF(B37="","",B37*$B$29)</x:f>
      </x:c>
      <x:c r="E37" s="26" t="str">
        <x:v>Card Status</x:v>
      </x:c>
      <x:c r="F37" s="46" t="str">
        <x:f>IF(COUNT(D34:D36)=0,"Waiting for Input",IF(B37&gt;=90,"On Track",IF(B37&gt;=80,"Good",IF(B37&gt;=70,"Need Improvement","Priority"))))</x:f>
        <x:v>Waiting for Input</x:v>
      </x:c>
      <x:c r="G37" s="52"/>
      <x:c r="H37" s="52"/>
    </x:row>
    <x:row r="38" ht="34" customHeight="1">
      <x:c r="A38" s="26" t="str">
        <x:v>Overall Root Cause / Key Finding</x:v>
      </x:c>
      <x:c r="B38" s="54" t="str"/>
      <x:c r="C38" s="52"/>
      <x:c r="D38" s="52"/>
      <x:c r="E38" s="52"/>
      <x:c r="F38" s="52"/>
      <x:c r="G38" s="52"/>
      <x:c r="H38" s="52"/>
    </x:row>
    <x:row r="39" ht="34" customHeight="1">
      <x:c r="A39" s="26" t="str">
        <x:v>Action Plan, PIC &amp; Due Date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Reviewer Note</x:v>
      </x:c>
      <x:c r="B40" s="54" t="str"/>
      <x:c r="C40" s="52"/>
      <x:c r="D40" s="52"/>
      <x:c r="E40" s="52"/>
      <x:c r="F40" s="52"/>
      <x:c r="G40" s="52"/>
      <x:c r="H40" s="52"/>
    </x:row>
    <x:row r="41">
      <x:c r="A41" s="52"/>
      <x:c r="B41" s="52"/>
      <x:c r="C41" s="52"/>
      <x:c r="D41" s="52"/>
      <x:c r="E41" s="52"/>
      <x:c r="F41" s="52"/>
      <x:c r="G41" s="52"/>
      <x:c r="H41" s="52"/>
    </x:row>
    <x:row r="42" ht="24" customHeight="1">
      <x:c r="A42" s="62" t="str">
        <x:v>RC-KPI-SM-SLS-03 — After Sales, Komplain &amp; Retensi</x:v>
      </x:c>
      <x:c r="B42" s="52"/>
      <x:c r="C42" s="52"/>
      <x:c r="D42" s="52"/>
      <x:c r="E42" s="52"/>
      <x:c r="F42" s="52"/>
      <x:c r="G42" s="52"/>
      <x:c r="H42" s="52"/>
    </x:row>
    <x:row r="43" ht="24" customHeight="1">
      <x:c r="A43" s="26" t="str">
        <x:v>KPI / Phase</x:v>
      </x:c>
      <x:c r="B43" s="16" t="str">
        <x:v>After Sales, Komplain &amp; Retensi</x:v>
      </x:c>
      <x:c r="C43" s="52"/>
      <x:c r="D43" s="52"/>
      <x:c r="E43" s="52"/>
      <x:c r="F43" s="52"/>
      <x:c r="G43" s="52"/>
      <x:c r="H43" s="52"/>
    </x:row>
    <x:row r="44" ht="30" customHeight="1">
      <x:c r="A44" s="26" t="str">
        <x:v>Adjusted Weight</x:v>
      </x:c>
      <x:c r="B44" s="68" t="n">
        <x:v>0.19999999999999998</x:v>
      </x:c>
      <x:c r="C44" s="26" t="str">
        <x:v>WI Reference</x:v>
      </x:c>
      <x:c r="D44" s="16" t="str">
        <x:v>WI-SM-010, WI-SM-011, WI-SM-012
Bukti: komplain log, bukti komunikasi, solusi/close record.</x:v>
      </x:c>
      <x:c r="E44" s="52"/>
      <x:c r="F44" s="52"/>
      <x:c r="G44" s="52"/>
      <x:c r="H44" s="52"/>
    </x:row>
    <x:row r="45" ht="36" customHeight="1">
      <x:c r="A45" s="26" t="str">
        <x:v>Objective</x:v>
      </x:c>
      <x:c r="B45" s="16" t="str">
        <x:v>Menjaga hubungan customer dan menyelesaikan komplain secara cepat, terdokumentasi, serta sampai solusi ditutup.</x:v>
      </x:c>
      <x:c r="C45" s="52"/>
      <x:c r="D45" s="52"/>
      <x:c r="E45" s="52"/>
      <x:c r="F45" s="52"/>
      <x:c r="G45" s="52"/>
      <x:c r="H45" s="52"/>
    </x:row>
    <x:row r="46" ht="32" customHeight="1">
      <x:c r="A46" s="26" t="str">
        <x:v>Target Baseline</x:v>
      </x:c>
      <x:c r="B46" s="16" t="str">
        <x:v>100% log same day; respons ≤2 jam; 100% komplain closed/tereskalasi.</x:v>
      </x:c>
      <x:c r="C46" s="52"/>
      <x:c r="D46" s="52"/>
      <x:c r="E46" s="52"/>
      <x:c r="F46" s="52"/>
      <x:c r="G46" s="52"/>
      <x:c r="H46" s="52"/>
    </x:row>
    <x:row r="47">
      <x:c r="A47" s="52"/>
      <x:c r="B47" s="52"/>
      <x:c r="C47" s="52"/>
      <x:c r="D47" s="52"/>
      <x:c r="E47" s="52"/>
      <x:c r="F47" s="52"/>
      <x:c r="G47" s="52"/>
      <x:c r="H47" s="52"/>
    </x:row>
    <x:row r="48" ht="36" customHeight="1">
      <x:c r="A48" s="36" t="str">
        <x:v>No.</x:v>
      </x:c>
      <x:c r="B48" s="36" t="str">
        <x:v>KPI Detail / What to Check</x:v>
      </x:c>
      <x:c r="C48" s="36" t="str">
        <x:v>Actual Result</x:v>
      </x:c>
      <x:c r="D48" s="36" t="str">
        <x:v>Achievement %
(0–100)</x:v>
      </x:c>
      <x:c r="E48" s="36" t="str">
        <x:v>Evidence / Proof</x:v>
      </x:c>
      <x:c r="F48" s="36" t="str">
        <x:v>Status</x:v>
      </x:c>
      <x:c r="G48" s="36" t="str">
        <x:v>Issue / Root Cause</x:v>
      </x:c>
      <x:c r="H48" s="36" t="str">
        <x:v>Action / Follow-up</x:v>
      </x:c>
    </x:row>
    <x:row r="49" ht="52" customHeight="1">
      <x:c r="A49" s="16" t="n">
        <x:v>1</x:v>
      </x:c>
      <x:c r="B49" s="16" t="str">
        <x:v>100% komplain dicatat pada hari yang sama.</x:v>
      </x:c>
      <x:c r="C49" s="54" t="str"/>
      <x:c r="D49" s="54" t="str"/>
      <x:c r="E49" s="54" t="str"/>
      <x:c r="F49" s="46" t="str">
        <x:f>IF(D49="","",IF(D49&gt;=90,"On Track",IF(D49&gt;=80,"Good",IF(D49&gt;=70,"Need Improvement","Priority"))))</x:f>
      </x:c>
      <x:c r="G49" s="54" t="str"/>
      <x:c r="H49" s="54" t="str"/>
    </x:row>
    <x:row r="50" ht="52" customHeight="1">
      <x:c r="A50" s="16" t="n">
        <x:v>2</x:v>
      </x:c>
      <x:c r="B50" s="16" t="str">
        <x:v>Respons awal komplain maksimal 2 jam kerja.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3</x:v>
      </x:c>
      <x:c r="B51" s="16" t="str">
        <x:v>100% komplain memiliki status solusi/closed dan feedback masuk evaluasi.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>
      <x:c r="A52" s="26" t="str">
        <x:v>Card Score</x:v>
      </x:c>
      <x:c r="B52" s="46" t="str">
        <x:f>IF(COUNT(D49:D51)=0,"",AVERAGE(D49:D51))</x:f>
      </x:c>
      <x:c r="C52" s="26" t="str">
        <x:v>Weighted Score</x:v>
      </x:c>
      <x:c r="D52" s="46" t="str">
        <x:f>IF(B52="","",B52*$B$44)</x:f>
      </x:c>
      <x:c r="E52" s="26" t="str">
        <x:v>Card Status</x:v>
      </x:c>
      <x:c r="F52" s="46" t="str">
        <x:f>IF(COUNT(D49:D51)=0,"Waiting for Input",IF(B52&gt;=90,"On Track",IF(B52&gt;=80,"Good",IF(B52&gt;=70,"Need Improvement","Priority"))))</x:f>
        <x:v>Waiting for Input</x:v>
      </x:c>
      <x:c r="G52" s="52"/>
      <x:c r="H52" s="52"/>
    </x:row>
    <x:row r="53" ht="34" customHeight="1">
      <x:c r="A53" s="26" t="str">
        <x:v>Overall Root Cause / Key Finding</x:v>
      </x:c>
      <x:c r="B53" s="54" t="str"/>
      <x:c r="C53" s="52"/>
      <x:c r="D53" s="52"/>
      <x:c r="E53" s="52"/>
      <x:c r="F53" s="52"/>
      <x:c r="G53" s="52"/>
      <x:c r="H53" s="52"/>
    </x:row>
    <x:row r="54" ht="34" customHeight="1">
      <x:c r="A54" s="26" t="str">
        <x:v>Action Plan, PIC &amp; Due Date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Reviewer Note</x:v>
      </x:c>
      <x:c r="B55" s="54" t="str"/>
      <x:c r="C55" s="52"/>
      <x:c r="D55" s="52"/>
      <x:c r="E55" s="52"/>
      <x:c r="F55" s="52"/>
      <x:c r="G55" s="52"/>
      <x:c r="H55" s="52"/>
    </x:row>
    <x:row r="56">
      <x:c r="A56" s="52"/>
      <x:c r="B56" s="52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</x:sheetData>
  <x:mergeCells>
    <x:mergeCell ref="A1:H1"/>
    <x:mergeCell ref="A5:H5"/>
    <x:mergeCell ref="A12:H12"/>
    <x:mergeCell ref="B13:H13"/>
    <x:mergeCell ref="D14:H14"/>
    <x:mergeCell ref="B15:H15"/>
    <x:mergeCell ref="B16:H16"/>
    <x:mergeCell ref="F22:H22"/>
    <x:mergeCell ref="B23:H23"/>
    <x:mergeCell ref="B24:H24"/>
    <x:mergeCell ref="B25:H25"/>
    <x:mergeCell ref="A27:H27"/>
    <x:mergeCell ref="B28:H28"/>
    <x:mergeCell ref="D29:H29"/>
    <x:mergeCell ref="B30:H30"/>
    <x:mergeCell ref="B31:H31"/>
    <x:mergeCell ref="F37:H37"/>
    <x:mergeCell ref="B38:H38"/>
    <x:mergeCell ref="B39:H39"/>
    <x:mergeCell ref="B40:H40"/>
    <x:mergeCell ref="A42:H42"/>
    <x:mergeCell ref="B43:H43"/>
    <x:mergeCell ref="D44:H44"/>
    <x:mergeCell ref="B45:H45"/>
    <x:mergeCell ref="B46:H46"/>
    <x:mergeCell ref="F52:H52"/>
    <x:mergeCell ref="B53:H53"/>
    <x:mergeCell ref="B54:H54"/>
    <x:mergeCell ref="B55:H55"/>
    <x:mergeCell ref="A10:B10"/>
    <x:mergeCell ref="G10:H10"/>
    <x:mergeCell ref="A11:H11"/>
  </x:mergeCells>
  <x:conditionalFormatting sqref="D19:D19">
    <x:cfRule type="cellIs" dxfId="285" priority="1" operator="greaterThanOrEqual">
      <x:formula>90</x:formula>
    </x:cfRule>
    <x:cfRule type="cellIs" dxfId="286" priority="2" operator="between">
      <x:formula>70</x:formula>
    </x:cfRule>
    <x:cfRule type="cellIs" dxfId="287" priority="3" operator="lessThan">
      <x:formula>70</x:formula>
    </x:cfRule>
  </x:conditionalFormatting>
  <x:conditionalFormatting sqref="D20:D20">
    <x:cfRule type="cellIs" dxfId="288" priority="4" operator="greaterThanOrEqual">
      <x:formula>90</x:formula>
    </x:cfRule>
    <x:cfRule type="cellIs" dxfId="289" priority="5" operator="between">
      <x:formula>70</x:formula>
    </x:cfRule>
    <x:cfRule type="cellIs" dxfId="290" priority="6" operator="lessThan">
      <x:formula>70</x:formula>
    </x:cfRule>
  </x:conditionalFormatting>
  <x:conditionalFormatting sqref="D21:D21">
    <x:cfRule type="cellIs" dxfId="291" priority="7" operator="greaterThanOrEqual">
      <x:formula>90</x:formula>
    </x:cfRule>
    <x:cfRule type="cellIs" dxfId="292" priority="8" operator="between">
      <x:formula>70</x:formula>
    </x:cfRule>
    <x:cfRule type="cellIs" dxfId="293" priority="9" operator="lessThan">
      <x:formula>70</x:formula>
    </x:cfRule>
  </x:conditionalFormatting>
  <x:conditionalFormatting sqref="D34:D34">
    <x:cfRule type="cellIs" dxfId="294" priority="10" operator="greaterThanOrEqual">
      <x:formula>90</x:formula>
    </x:cfRule>
    <x:cfRule type="cellIs" dxfId="295" priority="11" operator="between">
      <x:formula>70</x:formula>
    </x:cfRule>
    <x:cfRule type="cellIs" dxfId="296" priority="12" operator="lessThan">
      <x:formula>70</x:formula>
    </x:cfRule>
  </x:conditionalFormatting>
  <x:conditionalFormatting sqref="D35:D35">
    <x:cfRule type="cellIs" dxfId="297" priority="13" operator="greaterThanOrEqual">
      <x:formula>90</x:formula>
    </x:cfRule>
    <x:cfRule type="cellIs" dxfId="298" priority="14" operator="between">
      <x:formula>70</x:formula>
    </x:cfRule>
    <x:cfRule type="cellIs" dxfId="299" priority="15" operator="lessThan">
      <x:formula>70</x:formula>
    </x:cfRule>
  </x:conditionalFormatting>
  <x:conditionalFormatting sqref="D36:D36">
    <x:cfRule type="cellIs" dxfId="300" priority="16" operator="greaterThanOrEqual">
      <x:formula>90</x:formula>
    </x:cfRule>
    <x:cfRule type="cellIs" dxfId="301" priority="17" operator="between">
      <x:formula>70</x:formula>
    </x:cfRule>
    <x:cfRule type="cellIs" dxfId="302" priority="18" operator="lessThan">
      <x:formula>70</x:formula>
    </x:cfRule>
  </x:conditionalFormatting>
  <x:conditionalFormatting sqref="D49:D49">
    <x:cfRule type="cellIs" dxfId="303" priority="19" operator="greaterThanOrEqual">
      <x:formula>90</x:formula>
    </x:cfRule>
    <x:cfRule type="cellIs" dxfId="304" priority="20" operator="between">
      <x:formula>70</x:formula>
    </x:cfRule>
    <x:cfRule type="cellIs" dxfId="305" priority="21" operator="lessThan">
      <x:formula>70</x:formula>
    </x:cfRule>
  </x:conditionalFormatting>
  <x:conditionalFormatting sqref="D50:D50">
    <x:cfRule type="cellIs" dxfId="306" priority="22" operator="greaterThanOrEqual">
      <x:formula>90</x:formula>
    </x:cfRule>
    <x:cfRule type="cellIs" dxfId="307" priority="23" operator="between">
      <x:formula>70</x:formula>
    </x:cfRule>
    <x:cfRule type="cellIs" dxfId="308" priority="24" operator="lessThan">
      <x:formula>70</x:formula>
    </x:cfRule>
  </x:conditionalFormatting>
  <x:conditionalFormatting sqref="D51:D51">
    <x:cfRule type="cellIs" dxfId="309" priority="25" operator="greaterThanOrEqual">
      <x:formula>90</x:formula>
    </x:cfRule>
    <x:cfRule type="cellIs" dxfId="310" priority="26" operator="between">
      <x:formula>70</x:formula>
    </x:cfRule>
    <x:cfRule type="cellIs" dxfId="311" priority="27" operator="lessThan">
      <x:formula>70</x:formula>
    </x:cfRule>
  </x:conditionalFormatting>
  <x:dataValidations count="9">
    <x:dataValidation type="list" sqref="D19">
      <x:formula1>"0,5,10,15,20,25,30,35,40,45,50,55,60,65,70,75,80,85,90,95,100"</x:formula1>
    </x:dataValidation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34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49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SOCIAL MEDIA &amp; CONTENT SPECIALIST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Sales &amp; Marketing</x:v>
      </x:c>
      <x:c r="C2" s="26" t="str">
        <x:v>KPI Code</x:v>
      </x:c>
      <x:c r="D2" s="16" t="str">
        <x:v>KPI-SM-SOC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Kepala Sales &amp; Marketing</x:v>
      </x:c>
      <x:c r="C3" s="26" t="str">
        <x:v>Headcount Reference</x:v>
      </x:c>
      <x:c r="D3" s="16" t="str">
        <x:v>Fungsi di bawah Marketing</x:v>
      </x:c>
      <x:c r="E3" s="26" t="str">
        <x:v>Applicable KPI</x:v>
      </x:c>
      <x:c r="F3" s="16" t="n">
        <x:v>3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Content Planning &amp; Approval</x:v>
      </x:c>
      <x:c r="C7" s="68" t="n">
        <x:v>0.35</x:v>
      </x:c>
      <x:c r="D7" s="46" t="n">
        <x:f>B22</x:f>
        <x:v>0</x:v>
      </x:c>
      <x:c r="E7" s="46" t="n">
        <x:f>D22</x:f>
        <x:v>0</x:v>
      </x:c>
      <x:c r="F7" s="46" t="str">
        <x:f>F22</x:f>
        <x:v>Waiting for Input</x:v>
      </x:c>
      <x:c r="G7" s="16" t="str">
        <x:v>WI-SM-003
Bukti: content calendar, approval log, revision tracker.</x:v>
      </x:c>
      <x:c r="H7" s="16" t="str">
        <x:v>RC-KPI-SM-SOC-01</x:v>
      </x:c>
    </x:row>
    <x:row r="8" ht="36" customHeight="1">
      <x:c r="A8" s="16" t="n">
        <x:v>2</x:v>
      </x:c>
      <x:c r="B8" s="16" t="str">
        <x:v>Publishing &amp; Akurasi Konten</x:v>
      </x:c>
      <x:c r="C8" s="68" t="n">
        <x:v>0.4</x:v>
      </x:c>
      <x:c r="D8" s="46" t="n">
        <x:f>B37</x:f>
        <x:v>0</x:v>
      </x:c>
      <x:c r="E8" s="46" t="n">
        <x:f>D37</x:f>
        <x:v>0</x:v>
      </x:c>
      <x:c r="F8" s="46" t="str">
        <x:f>F37</x:f>
        <x:v>Waiting for Input</x:v>
      </x:c>
      <x:c r="G8" s="16" t="str">
        <x:v>WI-SM-003
Bukti: publishing log, screenshot post, folder asset.</x:v>
      </x:c>
      <x:c r="H8" s="16" t="str">
        <x:v>RC-KPI-SM-SOC-02</x:v>
      </x:c>
    </x:row>
    <x:row r="9" ht="36" customHeight="1">
      <x:c r="A9" s="16" t="n">
        <x:v>3</x:v>
      </x:c>
      <x:c r="B9" s="16" t="str">
        <x:v>Analytics &amp; Iterasi</x:v>
      </x:c>
      <x:c r="C9" s="68" t="n">
        <x:v>0.25</x:v>
      </x:c>
      <x:c r="D9" s="46" t="n">
        <x:f>B52</x:f>
        <x:v>0</x:v>
      </x:c>
      <x:c r="E9" s="46" t="n">
        <x:f>D52</x:f>
        <x:v>0</x:v>
      </x:c>
      <x:c r="F9" s="46" t="str">
        <x:f>F52</x:f>
        <x:v>Waiting for Input</x:v>
      </x:c>
      <x:c r="G9" s="16" t="str">
        <x:v>WI-SM-003, WI-SM-014
Bukti: analytics report, insight deck, notulen review.</x:v>
      </x:c>
      <x:c r="H9" s="16" t="str">
        <x:v>RC-KPI-SM-SOC-03</x:v>
      </x:c>
    </x:row>
    <x:row r="10">
      <x:c r="A10" s="62" t="str">
        <x:v>Overall Role Score</x:v>
      </x:c>
      <x:c r="B10" s="52"/>
      <x:c r="C10" s="26" t="str">
        <x:v>Total Weight</x:v>
      </x:c>
      <x:c r="D10" s="68" t="n">
        <x:f>SUM(C7:C9)</x:f>
        <x:v>1</x:v>
      </x:c>
      <x:c r="E10" s="46" t="str">
        <x:f>IF(COUNT(D19:D21,D34:D36,D49:D51)=0,"",SUM(E7:E9))</x:f>
      </x:c>
      <x:c r="F10" s="26" t="str">
        <x:v>Overall Status</x:v>
      </x:c>
      <x:c r="G10" s="46" t="str">
        <x:f>IF(COUNT(D19:D21,D34:D36,D49:D51)=0,"Waiting for Input",IF(E10&gt;=90,"On Track",IF(E10&gt;=80,"Good",IF(E10&gt;=70,"Need Improvement","Priority"))))</x:f>
        <x:v>Waiting for Input</x:v>
      </x:c>
      <x:c r="H10" s="52"/>
    </x:row>
    <x:row r="11" ht="22" customHeight="1">
      <x:c r="A11" s="16" t="str">
        <x:v>Fill yellow cells only. Score output is calculated from the average Achievement % of KPI details in each card.</x:v>
      </x:c>
      <x:c r="B11" s="52"/>
      <x:c r="C11" s="52"/>
      <x:c r="D11" s="52"/>
      <x:c r="E11" s="52"/>
      <x:c r="F11" s="52"/>
      <x:c r="G11" s="52"/>
      <x:c r="H11" s="52"/>
    </x:row>
    <x:row r="12" ht="24" customHeight="1">
      <x:c r="A12" s="62" t="str">
        <x:v>RC-KPI-SM-SOC-01 — Content Planning &amp; Approval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26" t="str">
        <x:v>KPI / Phase</x:v>
      </x:c>
      <x:c r="B13" s="16" t="str">
        <x:v>Content Planning &amp; Approval</x:v>
      </x:c>
      <x:c r="C13" s="52"/>
      <x:c r="D13" s="52"/>
      <x:c r="E13" s="52"/>
      <x:c r="F13" s="52"/>
      <x:c r="G13" s="52"/>
      <x:c r="H13" s="52"/>
    </x:row>
    <x:row r="14" ht="30" customHeight="1">
      <x:c r="A14" s="26" t="str">
        <x:v>Adjusted Weight</x:v>
      </x:c>
      <x:c r="B14" s="68" t="n">
        <x:v>0.35</x:v>
      </x:c>
      <x:c r="C14" s="26" t="str">
        <x:v>WI Reference</x:v>
      </x:c>
      <x:c r="D14" s="16" t="str">
        <x:v>WI-SM-003
Bukti: content calendar, approval log, revision tracker.</x:v>
      </x:c>
      <x:c r="E14" s="52"/>
      <x:c r="F14" s="52"/>
      <x:c r="G14" s="52"/>
      <x:c r="H14" s="52"/>
    </x:row>
    <x:row r="15" ht="36" customHeight="1">
      <x:c r="A15" s="26" t="str">
        <x:v>Objective</x:v>
      </x:c>
      <x:c r="B15" s="16" t="str">
        <x:v>Menjamin content calendar disetujui lebih awal sehingga produksi tidak menumpuk dan arah campaign konsisten.</x:v>
      </x:c>
      <x:c r="C15" s="52"/>
      <x:c r="D15" s="52"/>
      <x:c r="E15" s="52"/>
      <x:c r="F15" s="52"/>
      <x:c r="G15" s="52"/>
      <x:c r="H15" s="52"/>
    </x:row>
    <x:row r="16" ht="32" customHeight="1">
      <x:c r="A16" s="26" t="str">
        <x:v>Target Baseline</x:v>
      </x:c>
      <x:c r="B16" s="16" t="str">
        <x:v>Submit by tgl 25; ≥25 konten/bulan; maks. 2 revisi.</x:v>
      </x:c>
      <x:c r="C16" s="52"/>
      <x:c r="D16" s="52"/>
      <x:c r="E16" s="52"/>
      <x:c r="F16" s="52"/>
      <x:c r="G16" s="52"/>
      <x:c r="H16" s="52"/>
    </x:row>
    <x:row r="17">
      <x:c r="A17" s="52"/>
      <x:c r="B17" s="52"/>
      <x:c r="C17" s="52"/>
      <x:c r="D17" s="52"/>
      <x:c r="E17" s="52"/>
      <x:c r="F17" s="52"/>
      <x:c r="G17" s="52"/>
      <x:c r="H17" s="52"/>
    </x:row>
    <x:row r="18" ht="36" customHeight="1">
      <x:c r="A18" s="36" t="str">
        <x:v>No.</x:v>
      </x:c>
      <x:c r="B18" s="36" t="str">
        <x:v>KPI Detail / What to Check</x:v>
      </x:c>
      <x:c r="C18" s="36" t="str">
        <x:v>Actual Result</x:v>
      </x:c>
      <x:c r="D18" s="36" t="str">
        <x:v>Achievement %
(0–100)</x:v>
      </x:c>
      <x:c r="E18" s="36" t="str">
        <x:v>Evidence / Proof</x:v>
      </x:c>
      <x:c r="F18" s="36" t="str">
        <x:v>Status</x:v>
      </x:c>
      <x:c r="G18" s="36" t="str">
        <x:v>Issue / Root Cause</x:v>
      </x:c>
      <x:c r="H18" s="36" t="str">
        <x:v>Action / Follow-up</x:v>
      </x:c>
    </x:row>
    <x:row r="19" ht="52" customHeight="1">
      <x:c r="A19" s="16" t="n">
        <x:v>1</x:v>
      </x:c>
      <x:c r="B19" s="16" t="str">
        <x:v>Content calendar bulan berikutnya disubmit paling lambat tanggal 25 bulan berjalan.</x:v>
      </x:c>
      <x:c r="C19" s="54" t="str"/>
      <x:c r="D19" s="54" t="str"/>
      <x:c r="E19" s="54" t="str"/>
      <x:c r="F19" s="46" t="str">
        <x:f>IF(D19="","",IF(D19&gt;=90,"On Track",IF(D19&gt;=80,"Good",IF(D19&gt;=70,"Need Improvement","Priority"))))</x:f>
      </x:c>
      <x:c r="G19" s="54" t="str"/>
      <x:c r="H19" s="54" t="str"/>
    </x:row>
    <x:row r="20" ht="52" customHeight="1">
      <x:c r="A20" s="16" t="n">
        <x:v>2</x:v>
      </x:c>
      <x:c r="B20" s="16" t="str">
        <x:v>Kalender memuat minimal 25 konten/bulan.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3</x:v>
      </x:c>
      <x:c r="B21" s="16" t="str">
        <x:v>Final approval tercapai maksimal 2 putaran revisi.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>
      <x:c r="A22" s="26" t="str">
        <x:v>Card Score</x:v>
      </x:c>
      <x:c r="B22" s="46" t="str">
        <x:f>IF(COUNT(D19:D21)=0,"",AVERAGE(D19:D21))</x:f>
      </x:c>
      <x:c r="C22" s="26" t="str">
        <x:v>Weighted Score</x:v>
      </x:c>
      <x:c r="D22" s="46" t="str">
        <x:f>IF(B22="","",B22*$B$14)</x:f>
      </x:c>
      <x:c r="E22" s="26" t="str">
        <x:v>Card Status</x:v>
      </x:c>
      <x:c r="F22" s="46" t="str">
        <x:f>IF(COUNT(D19:D21)=0,"Waiting for Input",IF(B22&gt;=90,"On Track",IF(B22&gt;=80,"Good",IF(B22&gt;=70,"Need Improvement","Priority"))))</x:f>
        <x:v>Waiting for Input</x:v>
      </x:c>
      <x:c r="G22" s="52"/>
      <x:c r="H22" s="52"/>
    </x:row>
    <x:row r="23" ht="34" customHeight="1">
      <x:c r="A23" s="26" t="str">
        <x:v>Overall Root Cause / Key Finding</x:v>
      </x:c>
      <x:c r="B23" s="54" t="str"/>
      <x:c r="C23" s="52"/>
      <x:c r="D23" s="52"/>
      <x:c r="E23" s="52"/>
      <x:c r="F23" s="52"/>
      <x:c r="G23" s="52"/>
      <x:c r="H23" s="52"/>
    </x:row>
    <x:row r="24" ht="34" customHeight="1">
      <x:c r="A24" s="26" t="str">
        <x:v>Action Plan, PIC &amp; Due Date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Reviewer Note</x:v>
      </x:c>
      <x:c r="B25" s="54" t="str"/>
      <x:c r="C25" s="52"/>
      <x:c r="D25" s="52"/>
      <x:c r="E25" s="52"/>
      <x:c r="F25" s="52"/>
      <x:c r="G25" s="52"/>
      <x:c r="H25" s="52"/>
    </x:row>
    <x:row r="26">
      <x:c r="A26" s="52"/>
      <x:c r="B26" s="52"/>
      <x:c r="C26" s="52"/>
      <x:c r="D26" s="52"/>
      <x:c r="E26" s="52"/>
      <x:c r="F26" s="52"/>
      <x:c r="G26" s="52"/>
      <x:c r="H26" s="52"/>
    </x:row>
    <x:row r="27" ht="24" customHeight="1">
      <x:c r="A27" s="62" t="str">
        <x:v>RC-KPI-SM-SOC-02 — Publishing &amp; Akurasi Konten</x:v>
      </x:c>
      <x:c r="B27" s="52"/>
      <x:c r="C27" s="52"/>
      <x:c r="D27" s="52"/>
      <x:c r="E27" s="52"/>
      <x:c r="F27" s="52"/>
      <x:c r="G27" s="52"/>
      <x:c r="H27" s="52"/>
    </x:row>
    <x:row r="28" ht="24" customHeight="1">
      <x:c r="A28" s="26" t="str">
        <x:v>KPI / Phase</x:v>
      </x:c>
      <x:c r="B28" s="16" t="str">
        <x:v>Publishing &amp; Akurasi Konten</x:v>
      </x:c>
      <x:c r="C28" s="52"/>
      <x:c r="D28" s="52"/>
      <x:c r="E28" s="52"/>
      <x:c r="F28" s="52"/>
      <x:c r="G28" s="52"/>
      <x:c r="H28" s="52"/>
    </x:row>
    <x:row r="29" ht="30" customHeight="1">
      <x:c r="A29" s="26" t="str">
        <x:v>Adjusted Weight</x:v>
      </x:c>
      <x:c r="B29" s="68" t="n">
        <x:v>0.4</x:v>
      </x:c>
      <x:c r="C29" s="26" t="str">
        <x:v>WI Reference</x:v>
      </x:c>
      <x:c r="D29" s="16" t="str">
        <x:v>WI-SM-003
Bukti: publishing log, screenshot post, folder asset.</x:v>
      </x:c>
      <x:c r="E29" s="52"/>
      <x:c r="F29" s="52"/>
      <x:c r="G29" s="52"/>
      <x:c r="H29" s="52"/>
    </x:row>
    <x:row r="30" ht="36" customHeight="1">
      <x:c r="A30" s="26" t="str">
        <x:v>Objective</x:v>
      </x:c>
      <x:c r="B30" s="16" t="str">
        <x:v>Mempublikasikan konten sesuai jadwal dengan informasi produk, harga, dan tautan yang akurat.</x:v>
      </x:c>
      <x:c r="C30" s="52"/>
      <x:c r="D30" s="52"/>
      <x:c r="E30" s="52"/>
      <x:c r="F30" s="52"/>
      <x:c r="G30" s="52"/>
      <x:c r="H30" s="52"/>
    </x:row>
    <x:row r="31" ht="32" customHeight="1">
      <x:c r="A31" s="26" t="str">
        <x:v>Target Baseline</x:v>
      </x:c>
      <x:c r="B31" s="16" t="str">
        <x:v>100% schedule adherence; 0 error kritis; 100% arsip konten.</x:v>
      </x:c>
      <x:c r="C31" s="52"/>
      <x:c r="D31" s="52"/>
      <x:c r="E31" s="52"/>
      <x:c r="F31" s="52"/>
      <x:c r="G31" s="52"/>
      <x:c r="H31" s="52"/>
    </x:row>
    <x:row r="32">
      <x:c r="A32" s="52"/>
      <x:c r="B32" s="52"/>
      <x:c r="C32" s="52"/>
      <x:c r="D32" s="52"/>
      <x:c r="E32" s="52"/>
      <x:c r="F32" s="52"/>
      <x:c r="G32" s="52"/>
      <x:c r="H32" s="52"/>
    </x:row>
    <x:row r="33" ht="36" customHeight="1">
      <x:c r="A33" s="36" t="str">
        <x:v>No.</x:v>
      </x:c>
      <x:c r="B33" s="36" t="str">
        <x:v>KPI Detail / What to Check</x:v>
      </x:c>
      <x:c r="C33" s="36" t="str">
        <x:v>Actual Result</x:v>
      </x:c>
      <x:c r="D33" s="36" t="str">
        <x:v>Achievement %
(0–100)</x:v>
      </x:c>
      <x:c r="E33" s="36" t="str">
        <x:v>Evidence / Proof</x:v>
      </x:c>
      <x:c r="F33" s="36" t="str">
        <x:v>Status</x:v>
      </x:c>
      <x:c r="G33" s="36" t="str">
        <x:v>Issue / Root Cause</x:v>
      </x:c>
      <x:c r="H33" s="36" t="str">
        <x:v>Action / Follow-up</x:v>
      </x:c>
    </x:row>
    <x:row r="34" ht="52" customHeight="1">
      <x:c r="A34" s="16" t="n">
        <x:v>1</x:v>
      </x:c>
      <x:c r="B34" s="16" t="str">
        <x:v>100% konten approved tayang sesuai jadwal.</x:v>
      </x:c>
      <x:c r="C34" s="54" t="str"/>
      <x:c r="D34" s="54" t="str"/>
      <x:c r="E34" s="54" t="str"/>
      <x:c r="F34" s="46" t="str">
        <x:f>IF(D34="","",IF(D34&gt;=90,"On Track",IF(D34&gt;=80,"Good",IF(D34&gt;=70,"Need Improvement","Priority"))))</x:f>
      </x:c>
      <x:c r="G34" s="54" t="str"/>
      <x:c r="H34" s="54" t="str"/>
    </x:row>
    <x:row r="35" ht="52" customHeight="1">
      <x:c r="A35" s="16" t="n">
        <x:v>2</x:v>
      </x:c>
      <x:c r="B35" s="16" t="str">
        <x:v>0 kesalahan publik kritis (harga, tautan, typo material, produk salah).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3</x:v>
      </x:c>
      <x:c r="B36" s="16" t="str">
        <x:v>Semua konten tersimpan dengan naming/folder yang rapi.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>
      <x:c r="A37" s="26" t="str">
        <x:v>Card Score</x:v>
      </x:c>
      <x:c r="B37" s="46" t="str">
        <x:f>IF(COUNT(D34:D36)=0,"",AVERAGE(D34:D36))</x:f>
      </x:c>
      <x:c r="C37" s="26" t="str">
        <x:v>Weighted Score</x:v>
      </x:c>
      <x:c r="D37" s="46" t="str">
        <x:f>IF(B37="","",B37*$B$29)</x:f>
      </x:c>
      <x:c r="E37" s="26" t="str">
        <x:v>Card Status</x:v>
      </x:c>
      <x:c r="F37" s="46" t="str">
        <x:f>IF(COUNT(D34:D36)=0,"Waiting for Input",IF(B37&gt;=90,"On Track",IF(B37&gt;=80,"Good",IF(B37&gt;=70,"Need Improvement","Priority"))))</x:f>
        <x:v>Waiting for Input</x:v>
      </x:c>
      <x:c r="G37" s="52"/>
      <x:c r="H37" s="52"/>
    </x:row>
    <x:row r="38" ht="34" customHeight="1">
      <x:c r="A38" s="26" t="str">
        <x:v>Overall Root Cause / Key Finding</x:v>
      </x:c>
      <x:c r="B38" s="54" t="str"/>
      <x:c r="C38" s="52"/>
      <x:c r="D38" s="52"/>
      <x:c r="E38" s="52"/>
      <x:c r="F38" s="52"/>
      <x:c r="G38" s="52"/>
      <x:c r="H38" s="52"/>
    </x:row>
    <x:row r="39" ht="34" customHeight="1">
      <x:c r="A39" s="26" t="str">
        <x:v>Action Plan, PIC &amp; Due Date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Reviewer Note</x:v>
      </x:c>
      <x:c r="B40" s="54" t="str"/>
      <x:c r="C40" s="52"/>
      <x:c r="D40" s="52"/>
      <x:c r="E40" s="52"/>
      <x:c r="F40" s="52"/>
      <x:c r="G40" s="52"/>
      <x:c r="H40" s="52"/>
    </x:row>
    <x:row r="41">
      <x:c r="A41" s="52"/>
      <x:c r="B41" s="52"/>
      <x:c r="C41" s="52"/>
      <x:c r="D41" s="52"/>
      <x:c r="E41" s="52"/>
      <x:c r="F41" s="52"/>
      <x:c r="G41" s="52"/>
      <x:c r="H41" s="52"/>
    </x:row>
    <x:row r="42" ht="24" customHeight="1">
      <x:c r="A42" s="62" t="str">
        <x:v>RC-KPI-SM-SOC-03 — Analytics &amp; Iterasi</x:v>
      </x:c>
      <x:c r="B42" s="52"/>
      <x:c r="C42" s="52"/>
      <x:c r="D42" s="52"/>
      <x:c r="E42" s="52"/>
      <x:c r="F42" s="52"/>
      <x:c r="G42" s="52"/>
      <x:c r="H42" s="52"/>
    </x:row>
    <x:row r="43" ht="24" customHeight="1">
      <x:c r="A43" s="26" t="str">
        <x:v>KPI / Phase</x:v>
      </x:c>
      <x:c r="B43" s="16" t="str">
        <x:v>Analytics &amp; Iterasi</x:v>
      </x:c>
      <x:c r="C43" s="52"/>
      <x:c r="D43" s="52"/>
      <x:c r="E43" s="52"/>
      <x:c r="F43" s="52"/>
      <x:c r="G43" s="52"/>
      <x:c r="H43" s="52"/>
    </x:row>
    <x:row r="44" ht="30" customHeight="1">
      <x:c r="A44" s="26" t="str">
        <x:v>Adjusted Weight</x:v>
      </x:c>
      <x:c r="B44" s="68" t="n">
        <x:v>0.25</x:v>
      </x:c>
      <x:c r="C44" s="26" t="str">
        <x:v>WI Reference</x:v>
      </x:c>
      <x:c r="D44" s="16" t="str">
        <x:v>WI-SM-003, WI-SM-014
Bukti: analytics report, insight deck, notulen review.</x:v>
      </x:c>
      <x:c r="E44" s="52"/>
      <x:c r="F44" s="52"/>
      <x:c r="G44" s="52"/>
      <x:c r="H44" s="52"/>
    </x:row>
    <x:row r="45" ht="36" customHeight="1">
      <x:c r="A45" s="26" t="str">
        <x:v>Objective</x:v>
      </x:c>
      <x:c r="B45" s="16" t="str">
        <x:v>Menutup siklus konten melalui laporan performa dan rekomendasi yang dipakai pada kalender berikutnya.</x:v>
      </x:c>
      <x:c r="C45" s="52"/>
      <x:c r="D45" s="52"/>
      <x:c r="E45" s="52"/>
      <x:c r="F45" s="52"/>
      <x:c r="G45" s="52"/>
      <x:c r="H45" s="52"/>
    </x:row>
    <x:row r="46" ht="32" customHeight="1">
      <x:c r="A46" s="26" t="str">
        <x:v>Target Baseline</x:v>
      </x:c>
      <x:c r="B46" s="16" t="str">
        <x:v>Report by hari kerja ke-3; ≥3 insight; 1 review/bulan.</x:v>
      </x:c>
      <x:c r="C46" s="52"/>
      <x:c r="D46" s="52"/>
      <x:c r="E46" s="52"/>
      <x:c r="F46" s="52"/>
      <x:c r="G46" s="52"/>
      <x:c r="H46" s="52"/>
    </x:row>
    <x:row r="47">
      <x:c r="A47" s="52"/>
      <x:c r="B47" s="52"/>
      <x:c r="C47" s="52"/>
      <x:c r="D47" s="52"/>
      <x:c r="E47" s="52"/>
      <x:c r="F47" s="52"/>
      <x:c r="G47" s="52"/>
      <x:c r="H47" s="52"/>
    </x:row>
    <x:row r="48" ht="36" customHeight="1">
      <x:c r="A48" s="36" t="str">
        <x:v>No.</x:v>
      </x:c>
      <x:c r="B48" s="36" t="str">
        <x:v>KPI Detail / What to Check</x:v>
      </x:c>
      <x:c r="C48" s="36" t="str">
        <x:v>Actual Result</x:v>
      </x:c>
      <x:c r="D48" s="36" t="str">
        <x:v>Achievement %
(0–100)</x:v>
      </x:c>
      <x:c r="E48" s="36" t="str">
        <x:v>Evidence / Proof</x:v>
      </x:c>
      <x:c r="F48" s="36" t="str">
        <x:v>Status</x:v>
      </x:c>
      <x:c r="G48" s="36" t="str">
        <x:v>Issue / Root Cause</x:v>
      </x:c>
      <x:c r="H48" s="36" t="str">
        <x:v>Action / Follow-up</x:v>
      </x:c>
    </x:row>
    <x:row r="49" ht="52" customHeight="1">
      <x:c r="A49" s="16" t="n">
        <x:v>1</x:v>
      </x:c>
      <x:c r="B49" s="16" t="str">
        <x:v>Laporan performa diserahkan paling lambat hari kerja ke-3 bulan berikutnya.</x:v>
      </x:c>
      <x:c r="C49" s="54" t="str"/>
      <x:c r="D49" s="54" t="str"/>
      <x:c r="E49" s="54" t="str"/>
      <x:c r="F49" s="46" t="str">
        <x:f>IF(D49="","",IF(D49&gt;=90,"On Track",IF(D49&gt;=80,"Good",IF(D49&gt;=70,"Need Improvement","Priority"))))</x:f>
      </x:c>
      <x:c r="G49" s="54" t="str"/>
      <x:c r="H49" s="54" t="str"/>
    </x:row>
    <x:row r="50" ht="52" customHeight="1">
      <x:c r="A50" s="16" t="n">
        <x:v>2</x:v>
      </x:c>
      <x:c r="B50" s="16" t="str">
        <x:v>Minimal 3 insight/rekomendasi yang dapat diuji.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3</x:v>
      </x:c>
      <x:c r="B51" s="16" t="str">
        <x:v>Insight dibahas dalam review Marketing.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>
      <x:c r="A52" s="26" t="str">
        <x:v>Card Score</x:v>
      </x:c>
      <x:c r="B52" s="46" t="str">
        <x:f>IF(COUNT(D49:D51)=0,"",AVERAGE(D49:D51))</x:f>
      </x:c>
      <x:c r="C52" s="26" t="str">
        <x:v>Weighted Score</x:v>
      </x:c>
      <x:c r="D52" s="46" t="str">
        <x:f>IF(B52="","",B52*$B$44)</x:f>
      </x:c>
      <x:c r="E52" s="26" t="str">
        <x:v>Card Status</x:v>
      </x:c>
      <x:c r="F52" s="46" t="str">
        <x:f>IF(COUNT(D49:D51)=0,"Waiting for Input",IF(B52&gt;=90,"On Track",IF(B52&gt;=80,"Good",IF(B52&gt;=70,"Need Improvement","Priority"))))</x:f>
        <x:v>Waiting for Input</x:v>
      </x:c>
      <x:c r="G52" s="52"/>
      <x:c r="H52" s="52"/>
    </x:row>
    <x:row r="53" ht="34" customHeight="1">
      <x:c r="A53" s="26" t="str">
        <x:v>Overall Root Cause / Key Finding</x:v>
      </x:c>
      <x:c r="B53" s="54" t="str"/>
      <x:c r="C53" s="52"/>
      <x:c r="D53" s="52"/>
      <x:c r="E53" s="52"/>
      <x:c r="F53" s="52"/>
      <x:c r="G53" s="52"/>
      <x:c r="H53" s="52"/>
    </x:row>
    <x:row r="54" ht="34" customHeight="1">
      <x:c r="A54" s="26" t="str">
        <x:v>Action Plan, PIC &amp; Due Date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Reviewer Note</x:v>
      </x:c>
      <x:c r="B55" s="54" t="str"/>
      <x:c r="C55" s="52"/>
      <x:c r="D55" s="52"/>
      <x:c r="E55" s="52"/>
      <x:c r="F55" s="52"/>
      <x:c r="G55" s="52"/>
      <x:c r="H55" s="52"/>
    </x:row>
    <x:row r="56">
      <x:c r="A56" s="52"/>
      <x:c r="B56" s="52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</x:sheetData>
  <x:mergeCells>
    <x:mergeCell ref="A1:H1"/>
    <x:mergeCell ref="A5:H5"/>
    <x:mergeCell ref="A12:H12"/>
    <x:mergeCell ref="B13:H13"/>
    <x:mergeCell ref="D14:H14"/>
    <x:mergeCell ref="B15:H15"/>
    <x:mergeCell ref="B16:H16"/>
    <x:mergeCell ref="F22:H22"/>
    <x:mergeCell ref="B23:H23"/>
    <x:mergeCell ref="B24:H24"/>
    <x:mergeCell ref="B25:H25"/>
    <x:mergeCell ref="A27:H27"/>
    <x:mergeCell ref="B28:H28"/>
    <x:mergeCell ref="D29:H29"/>
    <x:mergeCell ref="B30:H30"/>
    <x:mergeCell ref="B31:H31"/>
    <x:mergeCell ref="F37:H37"/>
    <x:mergeCell ref="B38:H38"/>
    <x:mergeCell ref="B39:H39"/>
    <x:mergeCell ref="B40:H40"/>
    <x:mergeCell ref="A42:H42"/>
    <x:mergeCell ref="B43:H43"/>
    <x:mergeCell ref="D44:H44"/>
    <x:mergeCell ref="B45:H45"/>
    <x:mergeCell ref="B46:H46"/>
    <x:mergeCell ref="F52:H52"/>
    <x:mergeCell ref="B53:H53"/>
    <x:mergeCell ref="B54:H54"/>
    <x:mergeCell ref="B55:H55"/>
    <x:mergeCell ref="A10:B10"/>
    <x:mergeCell ref="G10:H10"/>
    <x:mergeCell ref="A11:H11"/>
  </x:mergeCells>
  <x:conditionalFormatting sqref="D19:D19">
    <x:cfRule type="cellIs" dxfId="312" priority="1" operator="greaterThanOrEqual">
      <x:formula>90</x:formula>
    </x:cfRule>
    <x:cfRule type="cellIs" dxfId="313" priority="2" operator="between">
      <x:formula>70</x:formula>
    </x:cfRule>
    <x:cfRule type="cellIs" dxfId="314" priority="3" operator="lessThan">
      <x:formula>70</x:formula>
    </x:cfRule>
  </x:conditionalFormatting>
  <x:conditionalFormatting sqref="D20:D20">
    <x:cfRule type="cellIs" dxfId="315" priority="4" operator="greaterThanOrEqual">
      <x:formula>90</x:formula>
    </x:cfRule>
    <x:cfRule type="cellIs" dxfId="316" priority="5" operator="between">
      <x:formula>70</x:formula>
    </x:cfRule>
    <x:cfRule type="cellIs" dxfId="317" priority="6" operator="lessThan">
      <x:formula>70</x:formula>
    </x:cfRule>
  </x:conditionalFormatting>
  <x:conditionalFormatting sqref="D21:D21">
    <x:cfRule type="cellIs" dxfId="318" priority="7" operator="greaterThanOrEqual">
      <x:formula>90</x:formula>
    </x:cfRule>
    <x:cfRule type="cellIs" dxfId="319" priority="8" operator="between">
      <x:formula>70</x:formula>
    </x:cfRule>
    <x:cfRule type="cellIs" dxfId="320" priority="9" operator="lessThan">
      <x:formula>70</x:formula>
    </x:cfRule>
  </x:conditionalFormatting>
  <x:conditionalFormatting sqref="D34:D34">
    <x:cfRule type="cellIs" dxfId="321" priority="10" operator="greaterThanOrEqual">
      <x:formula>90</x:formula>
    </x:cfRule>
    <x:cfRule type="cellIs" dxfId="322" priority="11" operator="between">
      <x:formula>70</x:formula>
    </x:cfRule>
    <x:cfRule type="cellIs" dxfId="323" priority="12" operator="lessThan">
      <x:formula>70</x:formula>
    </x:cfRule>
  </x:conditionalFormatting>
  <x:conditionalFormatting sqref="D35:D35">
    <x:cfRule type="cellIs" dxfId="324" priority="13" operator="greaterThanOrEqual">
      <x:formula>90</x:formula>
    </x:cfRule>
    <x:cfRule type="cellIs" dxfId="325" priority="14" operator="between">
      <x:formula>70</x:formula>
    </x:cfRule>
    <x:cfRule type="cellIs" dxfId="326" priority="15" operator="lessThan">
      <x:formula>70</x:formula>
    </x:cfRule>
  </x:conditionalFormatting>
  <x:conditionalFormatting sqref="D36:D36">
    <x:cfRule type="cellIs" dxfId="327" priority="16" operator="greaterThanOrEqual">
      <x:formula>90</x:formula>
    </x:cfRule>
    <x:cfRule type="cellIs" dxfId="328" priority="17" operator="between">
      <x:formula>70</x:formula>
    </x:cfRule>
    <x:cfRule type="cellIs" dxfId="329" priority="18" operator="lessThan">
      <x:formula>70</x:formula>
    </x:cfRule>
  </x:conditionalFormatting>
  <x:conditionalFormatting sqref="D49:D49">
    <x:cfRule type="cellIs" dxfId="330" priority="19" operator="greaterThanOrEqual">
      <x:formula>90</x:formula>
    </x:cfRule>
    <x:cfRule type="cellIs" dxfId="331" priority="20" operator="between">
      <x:formula>70</x:formula>
    </x:cfRule>
    <x:cfRule type="cellIs" dxfId="332" priority="21" operator="lessThan">
      <x:formula>70</x:formula>
    </x:cfRule>
  </x:conditionalFormatting>
  <x:conditionalFormatting sqref="D50:D50">
    <x:cfRule type="cellIs" dxfId="333" priority="22" operator="greaterThanOrEqual">
      <x:formula>90</x:formula>
    </x:cfRule>
    <x:cfRule type="cellIs" dxfId="334" priority="23" operator="between">
      <x:formula>70</x:formula>
    </x:cfRule>
    <x:cfRule type="cellIs" dxfId="335" priority="24" operator="lessThan">
      <x:formula>70</x:formula>
    </x:cfRule>
  </x:conditionalFormatting>
  <x:conditionalFormatting sqref="D51:D51">
    <x:cfRule type="cellIs" dxfId="336" priority="25" operator="greaterThanOrEqual">
      <x:formula>90</x:formula>
    </x:cfRule>
    <x:cfRule type="cellIs" dxfId="337" priority="26" operator="between">
      <x:formula>70</x:formula>
    </x:cfRule>
    <x:cfRule type="cellIs" dxfId="338" priority="27" operator="lessThan">
      <x:formula>70</x:formula>
    </x:cfRule>
  </x:conditionalFormatting>
  <x:dataValidations count="9">
    <x:dataValidation type="list" sqref="D19">
      <x:formula1>"0,5,10,15,20,25,30,35,40,45,50,55,60,65,70,75,80,85,90,95,100"</x:formula1>
    </x:dataValidation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34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49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KEPALA R&amp;D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Research &amp; Development</x:v>
      </x:c>
      <x:c r="C2" s="26" t="str">
        <x:v>KPI Code</x:v>
      </x:c>
      <x:c r="D2" s="16" t="str">
        <x:v>KPI-RND-HEAD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Manajer / Owner</x:v>
      </x:c>
      <x:c r="C3" s="26" t="str">
        <x:v>Headcount Reference</x:v>
      </x:c>
      <x:c r="D3" s="16" t="str">
        <x:v>1</x:v>
      </x:c>
      <x:c r="E3" s="26" t="str">
        <x:v>Applicable KPI</x:v>
      </x:c>
      <x:c r="F3" s="16" t="n">
        <x:v>3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Strategi Produk &amp; Creative Brief</x:v>
      </x:c>
      <x:c r="C7" s="68" t="n">
        <x:v>0.3125</x:v>
      </x:c>
      <x:c r="D7" s="46" t="n">
        <x:f>B22</x:f>
        <x:v>0</x:v>
      </x:c>
      <x:c r="E7" s="46" t="n">
        <x:f>D22</x:f>
        <x:v>0</x:v>
      </x:c>
      <x:c r="F7" s="46" t="str">
        <x:f>F22</x:f>
        <x:v>Waiting for Input</x:v>
      </x:c>
      <x:c r="G7" s="16" t="str">
        <x:v>WI-RND-001
Bukti: creative brief, roadmap produk, input market insight.</x:v>
      </x:c>
      <x:c r="H7" s="16" t="str">
        <x:v>RC-KPI-RND-HEAD-01</x:v>
      </x:c>
    </x:row>
    <x:row r="8" ht="36" customHeight="1">
      <x:c r="A8" s="16" t="n">
        <x:v>2</x:v>
      </x:c>
      <x:c r="B8" s="16" t="str">
        <x:v>Governance Review &amp; ACC Design</x:v>
      </x:c>
      <x:c r="C8" s="68" t="n">
        <x:v>0.3125</x:v>
      </x:c>
      <x:c r="D8" s="46" t="n">
        <x:f>B37</x:f>
        <x:v>0</x:v>
      </x:c>
      <x:c r="E8" s="46" t="n">
        <x:f>D37</x:f>
        <x:v>0</x:v>
      </x:c>
      <x:c r="F8" s="46" t="str">
        <x:f>F37</x:f>
        <x:v>Waiting for Input</x:v>
      </x:c>
      <x:c r="G8" s="16" t="str">
        <x:v>WI-RND-004
Bukti: design review log, catatan revisi, folder ACC.</x:v>
      </x:c>
      <x:c r="H8" s="16" t="str">
        <x:v>RC-KPI-RND-HEAD-02</x:v>
      </x:c>
    </x:row>
    <x:row r="9" ht="36" customHeight="1">
      <x:c r="A9" s="16" t="n">
        <x:v>3</x:v>
      </x:c>
      <x:c r="B9" s="16" t="str">
        <x:v>Approval Tech Pack &amp; Transfer ke Operations</x:v>
      </x:c>
      <x:c r="C9" s="68" t="n">
        <x:v>0.37499999999999994</x:v>
      </x:c>
      <x:c r="D9" s="46" t="n">
        <x:f>B52</x:f>
        <x:v>0</x:v>
      </x:c>
      <x:c r="E9" s="46" t="n">
        <x:f>D52</x:f>
        <x:v>0</x:v>
      </x:c>
      <x:c r="F9" s="46" t="str">
        <x:f>F52</x:f>
        <x:v>Waiting for Input</x:v>
      </x:c>
      <x:c r="G9" s="16" t="str">
        <x:v>WI-RND-011, WI-RND-012, WI-RND-013
Bukti: tech pack approved, berita acara handover, folder resmi.</x:v>
      </x:c>
      <x:c r="H9" s="16" t="str">
        <x:v>RC-KPI-RND-HEAD-03</x:v>
      </x:c>
    </x:row>
    <x:row r="10">
      <x:c r="A10" s="62" t="str">
        <x:v>Overall Role Score</x:v>
      </x:c>
      <x:c r="B10" s="52"/>
      <x:c r="C10" s="26" t="str">
        <x:v>Total Weight</x:v>
      </x:c>
      <x:c r="D10" s="68" t="n">
        <x:f>SUM(C7:C9)</x:f>
        <x:v>1</x:v>
      </x:c>
      <x:c r="E10" s="46" t="str">
        <x:f>IF(COUNT(D19:D21,D34:D36,D49:D51)=0,"",SUM(E7:E9))</x:f>
      </x:c>
      <x:c r="F10" s="26" t="str">
        <x:v>Overall Status</x:v>
      </x:c>
      <x:c r="G10" s="46" t="str">
        <x:f>IF(COUNT(D19:D21,D34:D36,D49:D51)=0,"Waiting for Input",IF(E10&gt;=90,"On Track",IF(E10&gt;=80,"Good",IF(E10&gt;=70,"Need Improvement","Priority"))))</x:f>
        <x:v>Waiting for Input</x:v>
      </x:c>
      <x:c r="H10" s="52"/>
    </x:row>
    <x:row r="11" ht="22" customHeight="1">
      <x:c r="A11" s="16" t="str">
        <x:v>Fill yellow cells only. Score output is calculated from the average Achievement % of KPI details in each card.</x:v>
      </x:c>
      <x:c r="B11" s="52"/>
      <x:c r="C11" s="52"/>
      <x:c r="D11" s="52"/>
      <x:c r="E11" s="52"/>
      <x:c r="F11" s="52"/>
      <x:c r="G11" s="52"/>
      <x:c r="H11" s="52"/>
    </x:row>
    <x:row r="12" ht="24" customHeight="1">
      <x:c r="A12" s="62" t="str">
        <x:v>RC-KPI-RND-HEAD-01 — Strategi Produk &amp; Creative Brief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26" t="str">
        <x:v>KPI / Phase</x:v>
      </x:c>
      <x:c r="B13" s="16" t="str">
        <x:v>Strategi Produk &amp; Creative Brief</x:v>
      </x:c>
      <x:c r="C13" s="52"/>
      <x:c r="D13" s="52"/>
      <x:c r="E13" s="52"/>
      <x:c r="F13" s="52"/>
      <x:c r="G13" s="52"/>
      <x:c r="H13" s="52"/>
    </x:row>
    <x:row r="14" ht="30" customHeight="1">
      <x:c r="A14" s="26" t="str">
        <x:v>Adjusted Weight</x:v>
      </x:c>
      <x:c r="B14" s="68" t="n">
        <x:v>0.3125</x:v>
      </x:c>
      <x:c r="C14" s="26" t="str">
        <x:v>WI Reference</x:v>
      </x:c>
      <x:c r="D14" s="16" t="str">
        <x:v>WI-RND-001
Bukti: creative brief, roadmap produk, input market insight.</x:v>
      </x:c>
      <x:c r="E14" s="52"/>
      <x:c r="F14" s="52"/>
      <x:c r="G14" s="52"/>
      <x:c r="H14" s="52"/>
    </x:row>
    <x:row r="15" ht="36" customHeight="1">
      <x:c r="A15" s="26" t="str">
        <x:v>Objective</x:v>
      </x:c>
      <x:c r="B15" s="16" t="str">
        <x:v>Mengarahkan prioritas pengembangan produk berdasarkan insight pasar dan kebutuhan bisnis.</x:v>
      </x:c>
      <x:c r="C15" s="52"/>
      <x:c r="D15" s="52"/>
      <x:c r="E15" s="52"/>
      <x:c r="F15" s="52"/>
      <x:c r="G15" s="52"/>
      <x:c r="H15" s="52"/>
    </x:row>
    <x:row r="16" ht="32" customHeight="1">
      <x:c r="A16" s="26" t="str">
        <x:v>Target Baseline</x:v>
      </x:c>
      <x:c r="B16" s="16" t="str">
        <x:v>≥1 creative brief/bulan; 100% proyek memiliki brief/status.</x:v>
      </x:c>
      <x:c r="C16" s="52"/>
      <x:c r="D16" s="52"/>
      <x:c r="E16" s="52"/>
      <x:c r="F16" s="52"/>
      <x:c r="G16" s="52"/>
      <x:c r="H16" s="52"/>
    </x:row>
    <x:row r="17">
      <x:c r="A17" s="52"/>
      <x:c r="B17" s="52"/>
      <x:c r="C17" s="52"/>
      <x:c r="D17" s="52"/>
      <x:c r="E17" s="52"/>
      <x:c r="F17" s="52"/>
      <x:c r="G17" s="52"/>
      <x:c r="H17" s="52"/>
    </x:row>
    <x:row r="18" ht="36" customHeight="1">
      <x:c r="A18" s="36" t="str">
        <x:v>No.</x:v>
      </x:c>
      <x:c r="B18" s="36" t="str">
        <x:v>KPI Detail / What to Check</x:v>
      </x:c>
      <x:c r="C18" s="36" t="str">
        <x:v>Actual Result</x:v>
      </x:c>
      <x:c r="D18" s="36" t="str">
        <x:v>Achievement %
(0–100)</x:v>
      </x:c>
      <x:c r="E18" s="36" t="str">
        <x:v>Evidence / Proof</x:v>
      </x:c>
      <x:c r="F18" s="36" t="str">
        <x:v>Status</x:v>
      </x:c>
      <x:c r="G18" s="36" t="str">
        <x:v>Issue / Root Cause</x:v>
      </x:c>
      <x:c r="H18" s="36" t="str">
        <x:v>Action / Follow-up</x:v>
      </x:c>
    </x:row>
    <x:row r="19" ht="52" customHeight="1">
      <x:c r="A19" s="16" t="n">
        <x:v>1</x:v>
      </x:c>
      <x:c r="B19" s="16" t="str">
        <x:v>Minimal 1 creative brief prioritas disusun/review setiap bulan.</x:v>
      </x:c>
      <x:c r="C19" s="54" t="str"/>
      <x:c r="D19" s="54" t="str"/>
      <x:c r="E19" s="54" t="str"/>
      <x:c r="F19" s="46" t="str">
        <x:f>IF(D19="","",IF(D19&gt;=90,"On Track",IF(D19&gt;=80,"Good",IF(D19&gt;=70,"Need Improvement","Priority"))))</x:f>
      </x:c>
      <x:c r="G19" s="54" t="str"/>
      <x:c r="H19" s="54" t="str"/>
    </x:row>
    <x:row r="20" ht="52" customHeight="1">
      <x:c r="A20" s="16" t="n">
        <x:v>2</x:v>
      </x:c>
      <x:c r="B20" s="16" t="str">
        <x:v>100% proyek R&amp;D aktif memiliki target customer, konsep, dan output yang jelas.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3</x:v>
      </x:c>
      <x:c r="B21" s="16" t="str">
        <x:v>Input tren dari Sales/Marketing ditinjau dalam prioritas R&amp;D.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>
      <x:c r="A22" s="26" t="str">
        <x:v>Card Score</x:v>
      </x:c>
      <x:c r="B22" s="46" t="str">
        <x:f>IF(COUNT(D19:D21)=0,"",AVERAGE(D19:D21))</x:f>
      </x:c>
      <x:c r="C22" s="26" t="str">
        <x:v>Weighted Score</x:v>
      </x:c>
      <x:c r="D22" s="46" t="str">
        <x:f>IF(B22="","",B22*$B$14)</x:f>
      </x:c>
      <x:c r="E22" s="26" t="str">
        <x:v>Card Status</x:v>
      </x:c>
      <x:c r="F22" s="46" t="str">
        <x:f>IF(COUNT(D19:D21)=0,"Waiting for Input",IF(B22&gt;=90,"On Track",IF(B22&gt;=80,"Good",IF(B22&gt;=70,"Need Improvement","Priority"))))</x:f>
        <x:v>Waiting for Input</x:v>
      </x:c>
      <x:c r="G22" s="52"/>
      <x:c r="H22" s="52"/>
    </x:row>
    <x:row r="23" ht="34" customHeight="1">
      <x:c r="A23" s="26" t="str">
        <x:v>Overall Root Cause / Key Finding</x:v>
      </x:c>
      <x:c r="B23" s="54" t="str"/>
      <x:c r="C23" s="52"/>
      <x:c r="D23" s="52"/>
      <x:c r="E23" s="52"/>
      <x:c r="F23" s="52"/>
      <x:c r="G23" s="52"/>
      <x:c r="H23" s="52"/>
    </x:row>
    <x:row r="24" ht="34" customHeight="1">
      <x:c r="A24" s="26" t="str">
        <x:v>Action Plan, PIC &amp; Due Date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Reviewer Note</x:v>
      </x:c>
      <x:c r="B25" s="54" t="str"/>
      <x:c r="C25" s="52"/>
      <x:c r="D25" s="52"/>
      <x:c r="E25" s="52"/>
      <x:c r="F25" s="52"/>
      <x:c r="G25" s="52"/>
      <x:c r="H25" s="52"/>
    </x:row>
    <x:row r="26">
      <x:c r="A26" s="52"/>
      <x:c r="B26" s="52"/>
      <x:c r="C26" s="52"/>
      <x:c r="D26" s="52"/>
      <x:c r="E26" s="52"/>
      <x:c r="F26" s="52"/>
      <x:c r="G26" s="52"/>
      <x:c r="H26" s="52"/>
    </x:row>
    <x:row r="27" ht="24" customHeight="1">
      <x:c r="A27" s="62" t="str">
        <x:v>RC-KPI-RND-HEAD-02 — Governance Review &amp; ACC Design</x:v>
      </x:c>
      <x:c r="B27" s="52"/>
      <x:c r="C27" s="52"/>
      <x:c r="D27" s="52"/>
      <x:c r="E27" s="52"/>
      <x:c r="F27" s="52"/>
      <x:c r="G27" s="52"/>
      <x:c r="H27" s="52"/>
    </x:row>
    <x:row r="28" ht="24" customHeight="1">
      <x:c r="A28" s="26" t="str">
        <x:v>KPI / Phase</x:v>
      </x:c>
      <x:c r="B28" s="16" t="str">
        <x:v>Governance Review &amp; ACC Design</x:v>
      </x:c>
      <x:c r="C28" s="52"/>
      <x:c r="D28" s="52"/>
      <x:c r="E28" s="52"/>
      <x:c r="F28" s="52"/>
      <x:c r="G28" s="52"/>
      <x:c r="H28" s="52"/>
    </x:row>
    <x:row r="29" ht="30" customHeight="1">
      <x:c r="A29" s="26" t="str">
        <x:v>Adjusted Weight</x:v>
      </x:c>
      <x:c r="B29" s="68" t="n">
        <x:v>0.3125</x:v>
      </x:c>
      <x:c r="C29" s="26" t="str">
        <x:v>WI Reference</x:v>
      </x:c>
      <x:c r="D29" s="16" t="str">
        <x:v>WI-RND-004
Bukti: design review log, catatan revisi, folder ACC.</x:v>
      </x:c>
      <x:c r="E29" s="52"/>
      <x:c r="F29" s="52"/>
      <x:c r="G29" s="52"/>
      <x:c r="H29" s="52"/>
    </x:row>
    <x:row r="30" ht="36" customHeight="1">
      <x:c r="A30" s="26" t="str">
        <x:v>Objective</x:v>
      </x:c>
      <x:c r="B30" s="16" t="str">
        <x:v>Memastikan desain ditinjau dari sisi pasar, brand, dan kemampuan produksi sebelum dilanjutkan.</x:v>
      </x:c>
      <x:c r="C30" s="52"/>
      <x:c r="D30" s="52"/>
      <x:c r="E30" s="52"/>
      <x:c r="F30" s="52"/>
      <x:c r="G30" s="52"/>
      <x:c r="H30" s="52"/>
    </x:row>
    <x:row r="31" ht="32" customHeight="1">
      <x:c r="A31" s="26" t="str">
        <x:v>Target Baseline</x:v>
      </x:c>
      <x:c r="B31" s="16" t="str">
        <x:v>100% desain berstatus; 0 bypass review; 100% catatan tercatat.</x:v>
      </x:c>
      <x:c r="C31" s="52"/>
      <x:c r="D31" s="52"/>
      <x:c r="E31" s="52"/>
      <x:c r="F31" s="52"/>
      <x:c r="G31" s="52"/>
      <x:c r="H31" s="52"/>
    </x:row>
    <x:row r="32">
      <x:c r="A32" s="52"/>
      <x:c r="B32" s="52"/>
      <x:c r="C32" s="52"/>
      <x:c r="D32" s="52"/>
      <x:c r="E32" s="52"/>
      <x:c r="F32" s="52"/>
      <x:c r="G32" s="52"/>
      <x:c r="H32" s="52"/>
    </x:row>
    <x:row r="33" ht="36" customHeight="1">
      <x:c r="A33" s="36" t="str">
        <x:v>No.</x:v>
      </x:c>
      <x:c r="B33" s="36" t="str">
        <x:v>KPI Detail / What to Check</x:v>
      </x:c>
      <x:c r="C33" s="36" t="str">
        <x:v>Actual Result</x:v>
      </x:c>
      <x:c r="D33" s="36" t="str">
        <x:v>Achievement %
(0–100)</x:v>
      </x:c>
      <x:c r="E33" s="36" t="str">
        <x:v>Evidence / Proof</x:v>
      </x:c>
      <x:c r="F33" s="36" t="str">
        <x:v>Status</x:v>
      </x:c>
      <x:c r="G33" s="36" t="str">
        <x:v>Issue / Root Cause</x:v>
      </x:c>
      <x:c r="H33" s="36" t="str">
        <x:v>Action / Follow-up</x:v>
      </x:c>
    </x:row>
    <x:row r="34" ht="52" customHeight="1">
      <x:c r="A34" s="16" t="n">
        <x:v>1</x:v>
      </x:c>
      <x:c r="B34" s="16" t="str">
        <x:v>100% desain kandidat memiliki status ACC / Revisi.</x:v>
      </x:c>
      <x:c r="C34" s="54" t="str"/>
      <x:c r="D34" s="54" t="str"/>
      <x:c r="E34" s="54" t="str"/>
      <x:c r="F34" s="46" t="str">
        <x:f>IF(D34="","",IF(D34&gt;=90,"On Track",IF(D34&gt;=80,"Good",IF(D34&gt;=70,"Need Improvement","Priority"))))</x:f>
      </x:c>
      <x:c r="G34" s="54" t="str"/>
      <x:c r="H34" s="54" t="str"/>
    </x:row>
    <x:row r="35" ht="52" customHeight="1">
      <x:c r="A35" s="16" t="n">
        <x:v>2</x:v>
      </x:c>
      <x:c r="B35" s="16" t="str">
        <x:v>0 desain diteruskan ke teknis sebelum review.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3</x:v>
      </x:c>
      <x:c r="B36" s="16" t="str">
        <x:v>Catatan revisi terdokumentasi dan ditutup pada versi berikutnya.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>
      <x:c r="A37" s="26" t="str">
        <x:v>Card Score</x:v>
      </x:c>
      <x:c r="B37" s="46" t="str">
        <x:f>IF(COUNT(D34:D36)=0,"",AVERAGE(D34:D36))</x:f>
      </x:c>
      <x:c r="C37" s="26" t="str">
        <x:v>Weighted Score</x:v>
      </x:c>
      <x:c r="D37" s="46" t="str">
        <x:f>IF(B37="","",B37*$B$29)</x:f>
      </x:c>
      <x:c r="E37" s="26" t="str">
        <x:v>Card Status</x:v>
      </x:c>
      <x:c r="F37" s="46" t="str">
        <x:f>IF(COUNT(D34:D36)=0,"Waiting for Input",IF(B37&gt;=90,"On Track",IF(B37&gt;=80,"Good",IF(B37&gt;=70,"Need Improvement","Priority"))))</x:f>
        <x:v>Waiting for Input</x:v>
      </x:c>
      <x:c r="G37" s="52"/>
      <x:c r="H37" s="52"/>
    </x:row>
    <x:row r="38" ht="34" customHeight="1">
      <x:c r="A38" s="26" t="str">
        <x:v>Overall Root Cause / Key Finding</x:v>
      </x:c>
      <x:c r="B38" s="54" t="str"/>
      <x:c r="C38" s="52"/>
      <x:c r="D38" s="52"/>
      <x:c r="E38" s="52"/>
      <x:c r="F38" s="52"/>
      <x:c r="G38" s="52"/>
      <x:c r="H38" s="52"/>
    </x:row>
    <x:row r="39" ht="34" customHeight="1">
      <x:c r="A39" s="26" t="str">
        <x:v>Action Plan, PIC &amp; Due Date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Reviewer Note</x:v>
      </x:c>
      <x:c r="B40" s="54" t="str"/>
      <x:c r="C40" s="52"/>
      <x:c r="D40" s="52"/>
      <x:c r="E40" s="52"/>
      <x:c r="F40" s="52"/>
      <x:c r="G40" s="52"/>
      <x:c r="H40" s="52"/>
    </x:row>
    <x:row r="41">
      <x:c r="A41" s="52"/>
      <x:c r="B41" s="52"/>
      <x:c r="C41" s="52"/>
      <x:c r="D41" s="52"/>
      <x:c r="E41" s="52"/>
      <x:c r="F41" s="52"/>
      <x:c r="G41" s="52"/>
      <x:c r="H41" s="52"/>
    </x:row>
    <x:row r="42" ht="24" customHeight="1">
      <x:c r="A42" s="62" t="str">
        <x:v>RC-KPI-RND-HEAD-03 — Approval Tech Pack &amp; Transfer ke Operations</x:v>
      </x:c>
      <x:c r="B42" s="52"/>
      <x:c r="C42" s="52"/>
      <x:c r="D42" s="52"/>
      <x:c r="E42" s="52"/>
      <x:c r="F42" s="52"/>
      <x:c r="G42" s="52"/>
      <x:c r="H42" s="52"/>
    </x:row>
    <x:row r="43" ht="24" customHeight="1">
      <x:c r="A43" s="26" t="str">
        <x:v>KPI / Phase</x:v>
      </x:c>
      <x:c r="B43" s="16" t="str">
        <x:v>Approval Tech Pack &amp; Transfer ke Operations</x:v>
      </x:c>
      <x:c r="C43" s="52"/>
      <x:c r="D43" s="52"/>
      <x:c r="E43" s="52"/>
      <x:c r="F43" s="52"/>
      <x:c r="G43" s="52"/>
      <x:c r="H43" s="52"/>
    </x:row>
    <x:row r="44" ht="30" customHeight="1">
      <x:c r="A44" s="26" t="str">
        <x:v>Adjusted Weight</x:v>
      </x:c>
      <x:c r="B44" s="68" t="n">
        <x:v>0.37499999999999994</x:v>
      </x:c>
      <x:c r="C44" s="26" t="str">
        <x:v>WI Reference</x:v>
      </x:c>
      <x:c r="D44" s="16" t="str">
        <x:v>WI-RND-011, WI-RND-012, WI-RND-013
Bukti: tech pack approved, berita acara handover, folder resmi.</x:v>
      </x:c>
      <x:c r="E44" s="52"/>
      <x:c r="F44" s="52"/>
      <x:c r="G44" s="52"/>
      <x:c r="H44" s="52"/>
    </x:row>
    <x:row r="45" ht="36" customHeight="1">
      <x:c r="A45" s="26" t="str">
        <x:v>Objective</x:v>
      </x:c>
      <x:c r="B45" s="16" t="str">
        <x:v>Memastikan produk yang dirilis memiliki dokumen teknis lengkap, disetujui, dan dipahami Operations.</x:v>
      </x:c>
      <x:c r="C45" s="52"/>
      <x:c r="D45" s="52"/>
      <x:c r="E45" s="52"/>
      <x:c r="F45" s="52"/>
      <x:c r="G45" s="52"/>
      <x:c r="H45" s="52"/>
    </x:row>
    <x:row r="46" ht="32" customHeight="1">
      <x:c r="A46" s="26" t="str">
        <x:v>Target Baseline</x:v>
      </x:c>
      <x:c r="B46" s="16" t="str">
        <x:v>100% tech pack approved &amp; handover; 0 produksi tanpa dokumen.</x:v>
      </x:c>
      <x:c r="C46" s="52"/>
      <x:c r="D46" s="52"/>
      <x:c r="E46" s="52"/>
      <x:c r="F46" s="52"/>
      <x:c r="G46" s="52"/>
      <x:c r="H46" s="52"/>
    </x:row>
    <x:row r="47">
      <x:c r="A47" s="52"/>
      <x:c r="B47" s="52"/>
      <x:c r="C47" s="52"/>
      <x:c r="D47" s="52"/>
      <x:c r="E47" s="52"/>
      <x:c r="F47" s="52"/>
      <x:c r="G47" s="52"/>
      <x:c r="H47" s="52"/>
    </x:row>
    <x:row r="48" ht="36" customHeight="1">
      <x:c r="A48" s="36" t="str">
        <x:v>No.</x:v>
      </x:c>
      <x:c r="B48" s="36" t="str">
        <x:v>KPI Detail / What to Check</x:v>
      </x:c>
      <x:c r="C48" s="36" t="str">
        <x:v>Actual Result</x:v>
      </x:c>
      <x:c r="D48" s="36" t="str">
        <x:v>Achievement %
(0–100)</x:v>
      </x:c>
      <x:c r="E48" s="36" t="str">
        <x:v>Evidence / Proof</x:v>
      </x:c>
      <x:c r="F48" s="36" t="str">
        <x:v>Status</x:v>
      </x:c>
      <x:c r="G48" s="36" t="str">
        <x:v>Issue / Root Cause</x:v>
      </x:c>
      <x:c r="H48" s="36" t="str">
        <x:v>Action / Follow-up</x:v>
      </x:c>
    </x:row>
    <x:row r="49" ht="52" customHeight="1">
      <x:c r="A49" s="16" t="n">
        <x:v>1</x:v>
      </x:c>
      <x:c r="B49" s="16" t="str">
        <x:v>100% Tech Pack produk baru/revisi besar mendapat approval sebelum produksi.</x:v>
      </x:c>
      <x:c r="C49" s="54" t="str"/>
      <x:c r="D49" s="54" t="str"/>
      <x:c r="E49" s="54" t="str"/>
      <x:c r="F49" s="46" t="str">
        <x:f>IF(D49="","",IF(D49&gt;=90,"On Track",IF(D49&gt;=80,"Good",IF(D49&gt;=70,"Need Improvement","Priority"))))</x:f>
      </x:c>
      <x:c r="G49" s="54" t="str"/>
      <x:c r="H49" s="54" t="str"/>
    </x:row>
    <x:row r="50" ht="52" customHeight="1">
      <x:c r="A50" s="16" t="n">
        <x:v>2</x:v>
      </x:c>
      <x:c r="B50" s="16" t="str">
        <x:v>100% transfer guideline ke Ops memiliki catatan handover.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3</x:v>
      </x:c>
      <x:c r="B51" s="16" t="str">
        <x:v>0 produksi massal dimulai tanpa Tech Pack Approved.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>
      <x:c r="A52" s="26" t="str">
        <x:v>Card Score</x:v>
      </x:c>
      <x:c r="B52" s="46" t="str">
        <x:f>IF(COUNT(D49:D51)=0,"",AVERAGE(D49:D51))</x:f>
      </x:c>
      <x:c r="C52" s="26" t="str">
        <x:v>Weighted Score</x:v>
      </x:c>
      <x:c r="D52" s="46" t="str">
        <x:f>IF(B52="","",B52*$B$44)</x:f>
      </x:c>
      <x:c r="E52" s="26" t="str">
        <x:v>Card Status</x:v>
      </x:c>
      <x:c r="F52" s="46" t="str">
        <x:f>IF(COUNT(D49:D51)=0,"Waiting for Input",IF(B52&gt;=90,"On Track",IF(B52&gt;=80,"Good",IF(B52&gt;=70,"Need Improvement","Priority"))))</x:f>
        <x:v>Waiting for Input</x:v>
      </x:c>
      <x:c r="G52" s="52"/>
      <x:c r="H52" s="52"/>
    </x:row>
    <x:row r="53" ht="34" customHeight="1">
      <x:c r="A53" s="26" t="str">
        <x:v>Overall Root Cause / Key Finding</x:v>
      </x:c>
      <x:c r="B53" s="54" t="str"/>
      <x:c r="C53" s="52"/>
      <x:c r="D53" s="52"/>
      <x:c r="E53" s="52"/>
      <x:c r="F53" s="52"/>
      <x:c r="G53" s="52"/>
      <x:c r="H53" s="52"/>
    </x:row>
    <x:row r="54" ht="34" customHeight="1">
      <x:c r="A54" s="26" t="str">
        <x:v>Action Plan, PIC &amp; Due Date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Reviewer Note</x:v>
      </x:c>
      <x:c r="B55" s="54" t="str"/>
      <x:c r="C55" s="52"/>
      <x:c r="D55" s="52"/>
      <x:c r="E55" s="52"/>
      <x:c r="F55" s="52"/>
      <x:c r="G55" s="52"/>
      <x:c r="H55" s="52"/>
    </x:row>
    <x:row r="56">
      <x:c r="A56" s="52"/>
      <x:c r="B56" s="52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</x:sheetData>
  <x:mergeCells>
    <x:mergeCell ref="A1:H1"/>
    <x:mergeCell ref="A5:H5"/>
    <x:mergeCell ref="A12:H12"/>
    <x:mergeCell ref="B13:H13"/>
    <x:mergeCell ref="D14:H14"/>
    <x:mergeCell ref="B15:H15"/>
    <x:mergeCell ref="B16:H16"/>
    <x:mergeCell ref="F22:H22"/>
    <x:mergeCell ref="B23:H23"/>
    <x:mergeCell ref="B24:H24"/>
    <x:mergeCell ref="B25:H25"/>
    <x:mergeCell ref="A27:H27"/>
    <x:mergeCell ref="B28:H28"/>
    <x:mergeCell ref="D29:H29"/>
    <x:mergeCell ref="B30:H30"/>
    <x:mergeCell ref="B31:H31"/>
    <x:mergeCell ref="F37:H37"/>
    <x:mergeCell ref="B38:H38"/>
    <x:mergeCell ref="B39:H39"/>
    <x:mergeCell ref="B40:H40"/>
    <x:mergeCell ref="A42:H42"/>
    <x:mergeCell ref="B43:H43"/>
    <x:mergeCell ref="D44:H44"/>
    <x:mergeCell ref="B45:H45"/>
    <x:mergeCell ref="B46:H46"/>
    <x:mergeCell ref="F52:H52"/>
    <x:mergeCell ref="B53:H53"/>
    <x:mergeCell ref="B54:H54"/>
    <x:mergeCell ref="B55:H55"/>
    <x:mergeCell ref="A10:B10"/>
    <x:mergeCell ref="G10:H10"/>
    <x:mergeCell ref="A11:H11"/>
  </x:mergeCells>
  <x:conditionalFormatting sqref="D19:D19">
    <x:cfRule type="cellIs" dxfId="339" priority="1" operator="greaterThanOrEqual">
      <x:formula>90</x:formula>
    </x:cfRule>
    <x:cfRule type="cellIs" dxfId="340" priority="2" operator="between">
      <x:formula>70</x:formula>
    </x:cfRule>
    <x:cfRule type="cellIs" dxfId="341" priority="3" operator="lessThan">
      <x:formula>70</x:formula>
    </x:cfRule>
  </x:conditionalFormatting>
  <x:conditionalFormatting sqref="D20:D20">
    <x:cfRule type="cellIs" dxfId="342" priority="4" operator="greaterThanOrEqual">
      <x:formula>90</x:formula>
    </x:cfRule>
    <x:cfRule type="cellIs" dxfId="343" priority="5" operator="between">
      <x:formula>70</x:formula>
    </x:cfRule>
    <x:cfRule type="cellIs" dxfId="344" priority="6" operator="lessThan">
      <x:formula>70</x:formula>
    </x:cfRule>
  </x:conditionalFormatting>
  <x:conditionalFormatting sqref="D21:D21">
    <x:cfRule type="cellIs" dxfId="345" priority="7" operator="greaterThanOrEqual">
      <x:formula>90</x:formula>
    </x:cfRule>
    <x:cfRule type="cellIs" dxfId="346" priority="8" operator="between">
      <x:formula>70</x:formula>
    </x:cfRule>
    <x:cfRule type="cellIs" dxfId="347" priority="9" operator="lessThan">
      <x:formula>70</x:formula>
    </x:cfRule>
  </x:conditionalFormatting>
  <x:conditionalFormatting sqref="D34:D34">
    <x:cfRule type="cellIs" dxfId="348" priority="10" operator="greaterThanOrEqual">
      <x:formula>90</x:formula>
    </x:cfRule>
    <x:cfRule type="cellIs" dxfId="349" priority="11" operator="between">
      <x:formula>70</x:formula>
    </x:cfRule>
    <x:cfRule type="cellIs" dxfId="350" priority="12" operator="lessThan">
      <x:formula>70</x:formula>
    </x:cfRule>
  </x:conditionalFormatting>
  <x:conditionalFormatting sqref="D35:D35">
    <x:cfRule type="cellIs" dxfId="351" priority="13" operator="greaterThanOrEqual">
      <x:formula>90</x:formula>
    </x:cfRule>
    <x:cfRule type="cellIs" dxfId="352" priority="14" operator="between">
      <x:formula>70</x:formula>
    </x:cfRule>
    <x:cfRule type="cellIs" dxfId="353" priority="15" operator="lessThan">
      <x:formula>70</x:formula>
    </x:cfRule>
  </x:conditionalFormatting>
  <x:conditionalFormatting sqref="D36:D36">
    <x:cfRule type="cellIs" dxfId="354" priority="16" operator="greaterThanOrEqual">
      <x:formula>90</x:formula>
    </x:cfRule>
    <x:cfRule type="cellIs" dxfId="355" priority="17" operator="between">
      <x:formula>70</x:formula>
    </x:cfRule>
    <x:cfRule type="cellIs" dxfId="356" priority="18" operator="lessThan">
      <x:formula>70</x:formula>
    </x:cfRule>
  </x:conditionalFormatting>
  <x:conditionalFormatting sqref="D49:D49">
    <x:cfRule type="cellIs" dxfId="357" priority="19" operator="greaterThanOrEqual">
      <x:formula>90</x:formula>
    </x:cfRule>
    <x:cfRule type="cellIs" dxfId="358" priority="20" operator="between">
      <x:formula>70</x:formula>
    </x:cfRule>
    <x:cfRule type="cellIs" dxfId="359" priority="21" operator="lessThan">
      <x:formula>70</x:formula>
    </x:cfRule>
  </x:conditionalFormatting>
  <x:conditionalFormatting sqref="D50:D50">
    <x:cfRule type="cellIs" dxfId="360" priority="22" operator="greaterThanOrEqual">
      <x:formula>90</x:formula>
    </x:cfRule>
    <x:cfRule type="cellIs" dxfId="361" priority="23" operator="between">
      <x:formula>70</x:formula>
    </x:cfRule>
    <x:cfRule type="cellIs" dxfId="362" priority="24" operator="lessThan">
      <x:formula>70</x:formula>
    </x:cfRule>
  </x:conditionalFormatting>
  <x:conditionalFormatting sqref="D51:D51">
    <x:cfRule type="cellIs" dxfId="363" priority="25" operator="greaterThanOrEqual">
      <x:formula>90</x:formula>
    </x:cfRule>
    <x:cfRule type="cellIs" dxfId="364" priority="26" operator="between">
      <x:formula>70</x:formula>
    </x:cfRule>
    <x:cfRule type="cellIs" dxfId="365" priority="27" operator="lessThan">
      <x:formula>70</x:formula>
    </x:cfRule>
  </x:conditionalFormatting>
  <x:dataValidations count="9">
    <x:dataValidation type="list" sqref="D19">
      <x:formula1>"0,5,10,15,20,25,30,35,40,45,50,55,60,65,70,75,80,85,90,95,100"</x:formula1>
    </x:dataValidation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34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49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PRODUCT DEVELOPMENT / DESIGNER &amp; PATTERN SPECIALIST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Research &amp; Development</x:v>
      </x:c>
      <x:c r="C2" s="26" t="str">
        <x:v>KPI Code</x:v>
      </x:c>
      <x:c r="D2" s="16" t="str">
        <x:v>KPI-RND-DES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Kepala R&amp;D</x:v>
      </x:c>
      <x:c r="C3" s="26" t="str">
        <x:v>Headcount Reference</x:v>
      </x:c>
      <x:c r="D3" s="16" t="str">
        <x:v>1</x:v>
      </x:c>
      <x:c r="E3" s="26" t="str">
        <x:v>Applicable KPI</x:v>
      </x:c>
      <x:c r="F3" s="16" t="n">
        <x:v>4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Pengembangan Desain &amp; Produk</x:v>
      </x:c>
      <x:c r="C7" s="68" t="n">
        <x:v>0.35</x:v>
      </x:c>
      <x:c r="D7" s="46" t="n">
        <x:f>B23</x:f>
        <x:v>0</x:v>
      </x:c>
      <x:c r="E7" s="46" t="n">
        <x:f>D23</x:f>
        <x:v>0</x:v>
      </x:c>
      <x:c r="F7" s="46" t="str">
        <x:f>F23</x:f>
        <x:v>Waiting for Input</x:v>
      </x:c>
      <x:c r="G7" s="16" t="str">
        <x:v>WI-RND-002
Bukti: folder desain, konsep/brief, version log.</x:v>
      </x:c>
      <x:c r="H7" s="16" t="str">
        <x:v>RC-KPI-RND-DES-01</x:v>
      </x:c>
    </x:row>
    <x:row r="8" ht="36" customHeight="1">
      <x:c r="A8" s="16" t="n">
        <x:v>2</x:v>
      </x:c>
      <x:c r="B8" s="16" t="str">
        <x:v>Eksperimen AI, Mockup &amp; Kualitas File</x:v>
      </x:c>
      <x:c r="C8" s="68" t="n">
        <x:v>0.2</x:v>
      </x:c>
      <x:c r="D8" s="46" t="n">
        <x:f>B38</x:f>
        <x:v>0</x:v>
      </x:c>
      <x:c r="E8" s="46" t="n">
        <x:f>D38</x:f>
        <x:v>0</x:v>
      </x:c>
      <x:c r="F8" s="46" t="str">
        <x:f>F38</x:f>
        <x:v>Waiting for Input</x:v>
      </x:c>
      <x:c r="G8" s="16" t="str">
        <x:v>WI-RND-003, WI-RND-006
Bukti: prompt/reference log, file final, checklist file.</x:v>
      </x:c>
      <x:c r="H8" s="16" t="str">
        <x:v>RC-KPI-RND-DES-02</x:v>
      </x:c>
    </x:row>
    <x:row r="9" ht="36" customHeight="1">
      <x:c r="A9" s="16" t="n">
        <x:v>3</x:v>
      </x:c>
      <x:c r="B9" s="16" t="str">
        <x:v>Review, Iterasi &amp; ACC Design</x:v>
      </x:c>
      <x:c r="C9" s="68" t="n">
        <x:v>0.25</x:v>
      </x:c>
      <x:c r="D9" s="46" t="n">
        <x:f>B53</x:f>
        <x:v>0</x:v>
      </x:c>
      <x:c r="E9" s="46" t="n">
        <x:f>D53</x:f>
        <x:v>0</x:v>
      </x:c>
      <x:c r="F9" s="46" t="str">
        <x:f>F53</x:f>
        <x:v>Waiting for Input</x:v>
      </x:c>
      <x:c r="G9" s="16" t="str">
        <x:v>WI-RND-004
Bukti: review log, timestamp revisi, folder ACC.</x:v>
      </x:c>
      <x:c r="H9" s="16" t="str">
        <x:v>RC-KPI-RND-DES-03</x:v>
      </x:c>
    </x:row>
    <x:row r="10" ht="36" customHeight="1">
      <x:c r="A10" s="16" t="n">
        <x:v>4</x:v>
      </x:c>
      <x:c r="B10" s="16" t="str">
        <x:v>Katalog &amp; Handover Aset</x:v>
      </x:c>
      <x:c r="C10" s="68" t="n">
        <x:v>0.2</x:v>
      </x:c>
      <x:c r="D10" s="46" t="n">
        <x:f>B68</x:f>
        <x:v>0</x:v>
      </x:c>
      <x:c r="E10" s="46" t="n">
        <x:f>D68</x:f>
        <x:v>0</x:v>
      </x:c>
      <x:c r="F10" s="46" t="str">
        <x:f>F68</x:f>
        <x:v>Waiting for Input</x:v>
      </x:c>
      <x:c r="G10" s="16" t="str">
        <x:v>WI-RND-005, WI-RND-006
Bukti: katalog final, link folder, konfirmasi handover.</x:v>
      </x:c>
      <x:c r="H10" s="16" t="str">
        <x:v>RC-KPI-RND-DES-04</x:v>
      </x:c>
    </x:row>
    <x:row r="11">
      <x:c r="A11" s="62" t="str">
        <x:v>Overall Role Score</x:v>
      </x:c>
      <x:c r="B11" s="52"/>
      <x:c r="C11" s="26" t="str">
        <x:v>Total Weight</x:v>
      </x:c>
      <x:c r="D11" s="68" t="n">
        <x:f>SUM(C7:C10)</x:f>
        <x:v>1</x:v>
      </x:c>
      <x:c r="E11" s="46" t="str">
        <x:f>IF(COUNT(D20:D22,D35:D37,D50:D52,D65:D67)=0,"",SUM(E7:E10))</x:f>
      </x:c>
      <x:c r="F11" s="26" t="str">
        <x:v>Overall Status</x:v>
      </x:c>
      <x:c r="G11" s="46" t="str">
        <x:f>IF(COUNT(D20:D22,D35:D37,D50:D52,D65:D67)=0,"Waiting for Input",IF(E11&gt;=90,"On Track",IF(E11&gt;=80,"Good",IF(E11&gt;=70,"Need Improvement","Priority"))))</x:f>
        <x:v>Waiting for Input</x:v>
      </x:c>
      <x:c r="H11" s="52"/>
    </x:row>
    <x:row r="12" ht="22" customHeight="1">
      <x:c r="A12" s="16" t="str">
        <x:v>Fill yellow cells only. Score output is calculated from the average Achievement % of KPI details in each card.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62" t="str">
        <x:v>RC-KPI-RND-DES-01 — Pengembangan Desain &amp; Produk</x:v>
      </x:c>
      <x:c r="B13" s="52"/>
      <x:c r="C13" s="52"/>
      <x:c r="D13" s="52"/>
      <x:c r="E13" s="52"/>
      <x:c r="F13" s="52"/>
      <x:c r="G13" s="52"/>
      <x:c r="H13" s="52"/>
    </x:row>
    <x:row r="14" ht="24" customHeight="1">
      <x:c r="A14" s="26" t="str">
        <x:v>KPI / Phase</x:v>
      </x:c>
      <x:c r="B14" s="16" t="str">
        <x:v>Pengembangan Desain &amp; Produk</x:v>
      </x:c>
      <x:c r="C14" s="52"/>
      <x:c r="D14" s="52"/>
      <x:c r="E14" s="52"/>
      <x:c r="F14" s="52"/>
      <x:c r="G14" s="52"/>
      <x:c r="H14" s="52"/>
    </x:row>
    <x:row r="15" ht="30" customHeight="1">
      <x:c r="A15" s="26" t="str">
        <x:v>Adjusted Weight</x:v>
      </x:c>
      <x:c r="B15" s="68" t="n">
        <x:v>0.35</x:v>
      </x:c>
      <x:c r="C15" s="26" t="str">
        <x:v>WI Reference</x:v>
      </x:c>
      <x:c r="D15" s="16" t="str">
        <x:v>WI-RND-002
Bukti: folder desain, konsep/brief, version log.</x:v>
      </x:c>
      <x:c r="E15" s="52"/>
      <x:c r="F15" s="52"/>
      <x:c r="G15" s="52"/>
      <x:c r="H15" s="52"/>
    </x:row>
    <x:row r="16" ht="36" customHeight="1">
      <x:c r="A16" s="26" t="str">
        <x:v>Objective</x:v>
      </x:c>
      <x:c r="B16" s="16" t="str">
        <x:v>Menghasilkan desain/motif dan konsep produk yang autentik, relevan dengan target customer, serta bisa dipakai untuk kebutuhan eceran dan B2B.</x:v>
      </x:c>
      <x:c r="C16" s="52"/>
      <x:c r="D16" s="52"/>
      <x:c r="E16" s="52"/>
      <x:c r="F16" s="52"/>
      <x:c r="G16" s="52"/>
      <x:c r="H16" s="52"/>
    </x:row>
    <x:row r="17" ht="32" customHeight="1">
      <x:c r="A17" s="26" t="str">
        <x:v>Target Baseline</x:v>
      </x:c>
      <x:c r="B17" s="16" t="str">
        <x:v>≥2 konsep/bulan; 100% ber-versi &amp; sesuai brief.</x:v>
      </x:c>
      <x:c r="C17" s="52"/>
      <x:c r="D17" s="52"/>
      <x:c r="E17" s="52"/>
      <x:c r="F17" s="52"/>
      <x:c r="G17" s="52"/>
      <x:c r="H17" s="52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 ht="36" customHeight="1">
      <x:c r="A19" s="36" t="str">
        <x:v>No.</x:v>
      </x:c>
      <x:c r="B19" s="36" t="str">
        <x:v>KPI Detail / What to Check</x:v>
      </x:c>
      <x:c r="C19" s="36" t="str">
        <x:v>Actual Result</x:v>
      </x:c>
      <x:c r="D19" s="36" t="str">
        <x:v>Achievement %
(0–100)</x:v>
      </x:c>
      <x:c r="E19" s="36" t="str">
        <x:v>Evidence / Proof</x:v>
      </x:c>
      <x:c r="F19" s="36" t="str">
        <x:v>Status</x:v>
      </x:c>
      <x:c r="G19" s="36" t="str">
        <x:v>Issue / Root Cause</x:v>
      </x:c>
      <x:c r="H19" s="36" t="str">
        <x:v>Action / Follow-up</x:v>
      </x:c>
    </x:row>
    <x:row r="20" ht="52" customHeight="1">
      <x:c r="A20" s="16" t="n">
        <x:v>1</x:v>
      </x:c>
      <x:c r="B20" s="16" t="str">
        <x:v>≥2 konsep desain/penyempurnaan produk terdokumentasi per bulan.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2</x:v>
      </x:c>
      <x:c r="B21" s="16" t="str">
        <x:v>100% konsep memiliki target customer dan versi file.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 ht="52" customHeight="1">
      <x:c r="A22" s="16" t="n">
        <x:v>3</x:v>
      </x:c>
      <x:c r="B22" s="16" t="str">
        <x:v>Desain mengacu pada creative brief, bukan referensi yang ditiru langsung.</x:v>
      </x:c>
      <x:c r="C22" s="54" t="str"/>
      <x:c r="D22" s="54" t="str"/>
      <x:c r="E22" s="54" t="str"/>
      <x:c r="F22" s="46" t="str">
        <x:f>IF(D22="","",IF(D22&gt;=90,"On Track",IF(D22&gt;=80,"Good",IF(D22&gt;=70,"Need Improvement","Priority"))))</x:f>
      </x:c>
      <x:c r="G22" s="54" t="str"/>
      <x:c r="H22" s="54" t="str"/>
    </x:row>
    <x:row r="23">
      <x:c r="A23" s="26" t="str">
        <x:v>Card Score</x:v>
      </x:c>
      <x:c r="B23" s="46" t="str">
        <x:f>IF(COUNT(D20:D22)=0,"",AVERAGE(D20:D22))</x:f>
      </x:c>
      <x:c r="C23" s="26" t="str">
        <x:v>Weighted Score</x:v>
      </x:c>
      <x:c r="D23" s="46" t="str">
        <x:f>IF(B23="","",B23*$B$15)</x:f>
      </x:c>
      <x:c r="E23" s="26" t="str">
        <x:v>Card Status</x:v>
      </x:c>
      <x:c r="F23" s="46" t="str">
        <x:f>IF(COUNT(D20:D22)=0,"Waiting for Input",IF(B23&gt;=90,"On Track",IF(B23&gt;=80,"Good",IF(B23&gt;=70,"Need Improvement","Priority"))))</x:f>
        <x:v>Waiting for Input</x:v>
      </x:c>
      <x:c r="G23" s="52"/>
      <x:c r="H23" s="52"/>
    </x:row>
    <x:row r="24" ht="34" customHeight="1">
      <x:c r="A24" s="26" t="str">
        <x:v>Overall Root Cause / Key Finding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Action Plan, PIC &amp; Due Date</x:v>
      </x:c>
      <x:c r="B25" s="54" t="str"/>
      <x:c r="C25" s="52"/>
      <x:c r="D25" s="52"/>
      <x:c r="E25" s="52"/>
      <x:c r="F25" s="52"/>
      <x:c r="G25" s="52"/>
      <x:c r="H25" s="52"/>
    </x:row>
    <x:row r="26" ht="34" customHeight="1">
      <x:c r="A26" s="26" t="str">
        <x:v>Reviewer Note</x:v>
      </x:c>
      <x:c r="B26" s="54" t="str"/>
      <x:c r="C26" s="52"/>
      <x:c r="D26" s="52"/>
      <x:c r="E26" s="52"/>
      <x:c r="F26" s="52"/>
      <x:c r="G26" s="52"/>
      <x:c r="H26" s="52"/>
    </x:row>
    <x:row r="27">
      <x:c r="A27" s="52"/>
      <x:c r="B27" s="52"/>
      <x:c r="C27" s="52"/>
      <x:c r="D27" s="52"/>
      <x:c r="E27" s="52"/>
      <x:c r="F27" s="52"/>
      <x:c r="G27" s="52"/>
      <x:c r="H27" s="52"/>
    </x:row>
    <x:row r="28" ht="24" customHeight="1">
      <x:c r="A28" s="62" t="str">
        <x:v>RC-KPI-RND-DES-02 — Eksperimen AI, Mockup &amp; Kualitas File</x:v>
      </x:c>
      <x:c r="B28" s="52"/>
      <x:c r="C28" s="52"/>
      <x:c r="D28" s="52"/>
      <x:c r="E28" s="52"/>
      <x:c r="F28" s="52"/>
      <x:c r="G28" s="52"/>
      <x:c r="H28" s="52"/>
    </x:row>
    <x:row r="29" ht="24" customHeight="1">
      <x:c r="A29" s="26" t="str">
        <x:v>KPI / Phase</x:v>
      </x:c>
      <x:c r="B29" s="16" t="str">
        <x:v>Eksperimen AI, Mockup &amp; Kualitas File</x:v>
      </x:c>
      <x:c r="C29" s="52"/>
      <x:c r="D29" s="52"/>
      <x:c r="E29" s="52"/>
      <x:c r="F29" s="52"/>
      <x:c r="G29" s="52"/>
      <x:c r="H29" s="52"/>
    </x:row>
    <x:row r="30" ht="30" customHeight="1">
      <x:c r="A30" s="26" t="str">
        <x:v>Adjusted Weight</x:v>
      </x:c>
      <x:c r="B30" s="68" t="n">
        <x:v>0.2</x:v>
      </x:c>
      <x:c r="C30" s="26" t="str">
        <x:v>WI Reference</x:v>
      </x:c>
      <x:c r="D30" s="16" t="str">
        <x:v>WI-RND-003, WI-RND-006
Bukti: prompt/reference log, file final, checklist file.</x:v>
      </x:c>
      <x:c r="E30" s="52"/>
      <x:c r="F30" s="52"/>
      <x:c r="G30" s="52"/>
      <x:c r="H30" s="52"/>
    </x:row>
    <x:row r="31" ht="36" customHeight="1">
      <x:c r="A31" s="26" t="str">
        <x:v>Objective</x:v>
      </x:c>
      <x:c r="B31" s="16" t="str">
        <x:v>Menggunakan AI dan mockup sebagai alat eksplorasi yang tetap melewati review manual dan menghasilkan file final bersih.</x:v>
      </x:c>
      <x:c r="C31" s="52"/>
      <x:c r="D31" s="52"/>
      <x:c r="E31" s="52"/>
      <x:c r="F31" s="52"/>
      <x:c r="G31" s="52"/>
      <x:c r="H31" s="52"/>
    </x:row>
    <x:row r="32" ht="32" customHeight="1">
      <x:c r="A32" s="26" t="str">
        <x:v>Target Baseline</x:v>
      </x:c>
      <x:c r="B32" s="16" t="str">
        <x:v>100% review manual; 0 raw AI file untuk produksi; 100% file sesuai standar.</x:v>
      </x:c>
      <x:c r="C32" s="52"/>
      <x:c r="D32" s="52"/>
      <x:c r="E32" s="52"/>
      <x:c r="F32" s="52"/>
      <x:c r="G32" s="52"/>
      <x:c r="H32" s="52"/>
    </x:row>
    <x:row r="33">
      <x:c r="A33" s="52"/>
      <x:c r="B33" s="52"/>
      <x:c r="C33" s="52"/>
      <x:c r="D33" s="52"/>
      <x:c r="E33" s="52"/>
      <x:c r="F33" s="52"/>
      <x:c r="G33" s="52"/>
      <x:c r="H33" s="52"/>
    </x:row>
    <x:row r="34" ht="36" customHeight="1">
      <x:c r="A34" s="36" t="str">
        <x:v>No.</x:v>
      </x:c>
      <x:c r="B34" s="36" t="str">
        <x:v>KPI Detail / What to Check</x:v>
      </x:c>
      <x:c r="C34" s="36" t="str">
        <x:v>Actual Result</x:v>
      </x:c>
      <x:c r="D34" s="36" t="str">
        <x:v>Achievement %
(0–100)</x:v>
      </x:c>
      <x:c r="E34" s="36" t="str">
        <x:v>Evidence / Proof</x:v>
      </x:c>
      <x:c r="F34" s="36" t="str">
        <x:v>Status</x:v>
      </x:c>
      <x:c r="G34" s="36" t="str">
        <x:v>Issue / Root Cause</x:v>
      </x:c>
      <x:c r="H34" s="36" t="str">
        <x:v>Action / Follow-up</x:v>
      </x:c>
    </x:row>
    <x:row r="35" ht="52" customHeight="1">
      <x:c r="A35" s="16" t="n">
        <x:v>1</x:v>
      </x:c>
      <x:c r="B35" s="16" t="str">
        <x:v>100% aset AI direview manual sebelum digunakan.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2</x:v>
      </x:c>
      <x:c r="B36" s="16" t="str">
        <x:v>0 hasil AI mentah dipakai sebagai file produksi final.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 ht="52" customHeight="1">
      <x:c r="A37" s="16" t="n">
        <x:v>3</x:v>
      </x:c>
      <x:c r="B37" s="16" t="str">
        <x:v>File final sesuai format, resolusi, dan naming standar.</x:v>
      </x:c>
      <x:c r="C37" s="54" t="str"/>
      <x:c r="D37" s="54" t="str"/>
      <x:c r="E37" s="54" t="str"/>
      <x:c r="F37" s="46" t="str">
        <x:f>IF(D37="","",IF(D37&gt;=90,"On Track",IF(D37&gt;=80,"Good",IF(D37&gt;=70,"Need Improvement","Priority"))))</x:f>
      </x:c>
      <x:c r="G37" s="54" t="str"/>
      <x:c r="H37" s="54" t="str"/>
    </x:row>
    <x:row r="38">
      <x:c r="A38" s="26" t="str">
        <x:v>Card Score</x:v>
      </x:c>
      <x:c r="B38" s="46" t="str">
        <x:f>IF(COUNT(D35:D37)=0,"",AVERAGE(D35:D37))</x:f>
      </x:c>
      <x:c r="C38" s="26" t="str">
        <x:v>Weighted Score</x:v>
      </x:c>
      <x:c r="D38" s="46" t="str">
        <x:f>IF(B38="","",B38*$B$30)</x:f>
      </x:c>
      <x:c r="E38" s="26" t="str">
        <x:v>Card Status</x:v>
      </x:c>
      <x:c r="F38" s="46" t="str">
        <x:f>IF(COUNT(D35:D37)=0,"Waiting for Input",IF(B38&gt;=90,"On Track",IF(B38&gt;=80,"Good",IF(B38&gt;=70,"Need Improvement","Priority"))))</x:f>
        <x:v>Waiting for Input</x:v>
      </x:c>
      <x:c r="G38" s="52"/>
      <x:c r="H38" s="52"/>
    </x:row>
    <x:row r="39" ht="34" customHeight="1">
      <x:c r="A39" s="26" t="str">
        <x:v>Overall Root Cause / Key Finding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Action Plan, PIC &amp; Due Date</x:v>
      </x:c>
      <x:c r="B40" s="54" t="str"/>
      <x:c r="C40" s="52"/>
      <x:c r="D40" s="52"/>
      <x:c r="E40" s="52"/>
      <x:c r="F40" s="52"/>
      <x:c r="G40" s="52"/>
      <x:c r="H40" s="52"/>
    </x:row>
    <x:row r="41" ht="34" customHeight="1">
      <x:c r="A41" s="26" t="str">
        <x:v>Reviewer Note</x:v>
      </x:c>
      <x:c r="B41" s="54" t="str"/>
      <x:c r="C41" s="52"/>
      <x:c r="D41" s="52"/>
      <x:c r="E41" s="52"/>
      <x:c r="F41" s="52"/>
      <x:c r="G41" s="52"/>
      <x:c r="H41" s="52"/>
    </x:row>
    <x:row r="42">
      <x:c r="A42" s="52"/>
      <x:c r="B42" s="52"/>
      <x:c r="C42" s="52"/>
      <x:c r="D42" s="52"/>
      <x:c r="E42" s="52"/>
      <x:c r="F42" s="52"/>
      <x:c r="G42" s="52"/>
      <x:c r="H42" s="52"/>
    </x:row>
    <x:row r="43" ht="24" customHeight="1">
      <x:c r="A43" s="62" t="str">
        <x:v>RC-KPI-RND-DES-03 — Review, Iterasi &amp; ACC Design</x:v>
      </x:c>
      <x:c r="B43" s="52"/>
      <x:c r="C43" s="52"/>
      <x:c r="D43" s="52"/>
      <x:c r="E43" s="52"/>
      <x:c r="F43" s="52"/>
      <x:c r="G43" s="52"/>
      <x:c r="H43" s="52"/>
    </x:row>
    <x:row r="44" ht="24" customHeight="1">
      <x:c r="A44" s="26" t="str">
        <x:v>KPI / Phase</x:v>
      </x:c>
      <x:c r="B44" s="16" t="str">
        <x:v>Review, Iterasi &amp; ACC Design</x:v>
      </x:c>
      <x:c r="C44" s="52"/>
      <x:c r="D44" s="52"/>
      <x:c r="E44" s="52"/>
      <x:c r="F44" s="52"/>
      <x:c r="G44" s="52"/>
      <x:c r="H44" s="52"/>
    </x:row>
    <x:row r="45" ht="30" customHeight="1">
      <x:c r="A45" s="26" t="str">
        <x:v>Adjusted Weight</x:v>
      </x:c>
      <x:c r="B45" s="68" t="n">
        <x:v>0.25</x:v>
      </x:c>
      <x:c r="C45" s="26" t="str">
        <x:v>WI Reference</x:v>
      </x:c>
      <x:c r="D45" s="16" t="str">
        <x:v>WI-RND-004
Bukti: review log, timestamp revisi, folder ACC.</x:v>
      </x:c>
      <x:c r="E45" s="52"/>
      <x:c r="F45" s="52"/>
      <x:c r="G45" s="52"/>
      <x:c r="H45" s="52"/>
    </x:row>
    <x:row r="46" ht="36" customHeight="1">
      <x:c r="A46" s="26" t="str">
        <x:v>Objective</x:v>
      </x:c>
      <x:c r="B46" s="16" t="str">
        <x:v>Menutup revisi desain secara cepat dan jelas berdasarkan catatan Kepala R&amp;D serta Technical Specialist.</x:v>
      </x:c>
      <x:c r="C46" s="52"/>
      <x:c r="D46" s="52"/>
      <x:c r="E46" s="52"/>
      <x:c r="F46" s="52"/>
      <x:c r="G46" s="52"/>
      <x:c r="H46" s="52"/>
    </x:row>
    <x:row r="47" ht="32" customHeight="1">
      <x:c r="A47" s="26" t="str">
        <x:v>Target Baseline</x:v>
      </x:c>
      <x:c r="B47" s="16" t="str">
        <x:v>100% review sebelum handover; revisi normal ≤2 hari; 0 bypass ACC.</x:v>
      </x:c>
      <x:c r="C47" s="52"/>
      <x:c r="D47" s="52"/>
      <x:c r="E47" s="52"/>
      <x:c r="F47" s="52"/>
      <x:c r="G47" s="52"/>
      <x:c r="H47" s="52"/>
    </x:row>
    <x:row r="48">
      <x:c r="A48" s="52"/>
      <x:c r="B48" s="52"/>
      <x:c r="C48" s="52"/>
      <x:c r="D48" s="52"/>
      <x:c r="E48" s="52"/>
      <x:c r="F48" s="52"/>
      <x:c r="G48" s="52"/>
      <x:c r="H48" s="52"/>
    </x:row>
    <x:row r="49" ht="36" customHeight="1">
      <x:c r="A49" s="36" t="str">
        <x:v>No.</x:v>
      </x:c>
      <x:c r="B49" s="36" t="str">
        <x:v>KPI Detail / What to Check</x:v>
      </x:c>
      <x:c r="C49" s="36" t="str">
        <x:v>Actual Result</x:v>
      </x:c>
      <x:c r="D49" s="36" t="str">
        <x:v>Achievement %
(0–100)</x:v>
      </x:c>
      <x:c r="E49" s="36" t="str">
        <x:v>Evidence / Proof</x:v>
      </x:c>
      <x:c r="F49" s="36" t="str">
        <x:v>Status</x:v>
      </x:c>
      <x:c r="G49" s="36" t="str">
        <x:v>Issue / Root Cause</x:v>
      </x:c>
      <x:c r="H49" s="36" t="str">
        <x:v>Action / Follow-up</x:v>
      </x:c>
    </x:row>
    <x:row r="50" ht="52" customHeight="1">
      <x:c r="A50" s="16" t="n">
        <x:v>1</x:v>
      </x:c>
      <x:c r="B50" s="16" t="str">
        <x:v>100% draft diajukan untuk review sebelum handover teknis.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2</x:v>
      </x:c>
      <x:c r="B51" s="16" t="str">
        <x:v>Revisi diselesaikan sesuai SLA proyek (maks. 2 hari kerja untuk revisi normal).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 ht="52" customHeight="1">
      <x:c r="A52" s="16" t="n">
        <x:v>3</x:v>
      </x:c>
      <x:c r="B52" s="16" t="str">
        <x:v>0 desain diteruskan ke Tech tanpa status ACC.</x:v>
      </x:c>
      <x:c r="C52" s="54" t="str"/>
      <x:c r="D52" s="54" t="str"/>
      <x:c r="E52" s="54" t="str"/>
      <x:c r="F52" s="46" t="str">
        <x:f>IF(D52="","",IF(D52&gt;=90,"On Track",IF(D52&gt;=80,"Good",IF(D52&gt;=70,"Need Improvement","Priority"))))</x:f>
      </x:c>
      <x:c r="G52" s="54" t="str"/>
      <x:c r="H52" s="54" t="str"/>
    </x:row>
    <x:row r="53">
      <x:c r="A53" s="26" t="str">
        <x:v>Card Score</x:v>
      </x:c>
      <x:c r="B53" s="46" t="str">
        <x:f>IF(COUNT(D50:D52)=0,"",AVERAGE(D50:D52))</x:f>
      </x:c>
      <x:c r="C53" s="26" t="str">
        <x:v>Weighted Score</x:v>
      </x:c>
      <x:c r="D53" s="46" t="str">
        <x:f>IF(B53="","",B53*$B$45)</x:f>
      </x:c>
      <x:c r="E53" s="26" t="str">
        <x:v>Card Status</x:v>
      </x:c>
      <x:c r="F53" s="46" t="str">
        <x:f>IF(COUNT(D50:D52)=0,"Waiting for Input",IF(B53&gt;=90,"On Track",IF(B53&gt;=80,"Good",IF(B53&gt;=70,"Need Improvement","Priority"))))</x:f>
        <x:v>Waiting for Input</x:v>
      </x:c>
      <x:c r="G53" s="52"/>
      <x:c r="H53" s="52"/>
    </x:row>
    <x:row r="54" ht="34" customHeight="1">
      <x:c r="A54" s="26" t="str">
        <x:v>Overall Root Cause / Key Finding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Action Plan, PIC &amp; Due Date</x:v>
      </x:c>
      <x:c r="B55" s="54" t="str"/>
      <x:c r="C55" s="52"/>
      <x:c r="D55" s="52"/>
      <x:c r="E55" s="52"/>
      <x:c r="F55" s="52"/>
      <x:c r="G55" s="52"/>
      <x:c r="H55" s="52"/>
    </x:row>
    <x:row r="56" ht="34" customHeight="1">
      <x:c r="A56" s="26" t="str">
        <x:v>Reviewer Note</x:v>
      </x:c>
      <x:c r="B56" s="54" t="str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  <x:row r="58" ht="24" customHeight="1">
      <x:c r="A58" s="62" t="str">
        <x:v>RC-KPI-RND-DES-04 — Katalog &amp; Handover Aset</x:v>
      </x:c>
      <x:c r="B58" s="52"/>
      <x:c r="C58" s="52"/>
      <x:c r="D58" s="52"/>
      <x:c r="E58" s="52"/>
      <x:c r="F58" s="52"/>
      <x:c r="G58" s="52"/>
      <x:c r="H58" s="52"/>
    </x:row>
    <x:row r="59" ht="24" customHeight="1">
      <x:c r="A59" s="26" t="str">
        <x:v>KPI / Phase</x:v>
      </x:c>
      <x:c r="B59" s="16" t="str">
        <x:v>Katalog &amp; Handover Aset</x:v>
      </x:c>
      <x:c r="C59" s="52"/>
      <x:c r="D59" s="52"/>
      <x:c r="E59" s="52"/>
      <x:c r="F59" s="52"/>
      <x:c r="G59" s="52"/>
      <x:c r="H59" s="52"/>
    </x:row>
    <x:row r="60" ht="30" customHeight="1">
      <x:c r="A60" s="26" t="str">
        <x:v>Adjusted Weight</x:v>
      </x:c>
      <x:c r="B60" s="68" t="n">
        <x:v>0.2</x:v>
      </x:c>
      <x:c r="C60" s="26" t="str">
        <x:v>WI Reference</x:v>
      </x:c>
      <x:c r="D60" s="16" t="str">
        <x:v>WI-RND-005, WI-RND-006
Bukti: katalog final, link folder, konfirmasi handover.</x:v>
      </x:c>
      <x:c r="E60" s="52"/>
      <x:c r="F60" s="52"/>
      <x:c r="G60" s="52"/>
      <x:c r="H60" s="52"/>
    </x:row>
    <x:row r="61" ht="36" customHeight="1">
      <x:c r="A61" s="26" t="str">
        <x:v>Objective</x:v>
      </x:c>
      <x:c r="B61" s="16" t="str">
        <x:v>Menjaga aset katalog dan file mentah selalu siap digunakan Sales/Marketing serta Technical Specialist.</x:v>
      </x:c>
      <x:c r="C61" s="52"/>
      <x:c r="D61" s="52"/>
      <x:c r="E61" s="52"/>
      <x:c r="F61" s="52"/>
      <x:c r="G61" s="52"/>
      <x:c r="H61" s="52"/>
    </x:row>
    <x:row r="62" ht="32" customHeight="1">
      <x:c r="A62" s="26" t="str">
        <x:v>Target Baseline</x:v>
      </x:c>
      <x:c r="B62" s="16" t="str">
        <x:v>100% asset ACC lengkap; 1 update/bulan; 100% file terbuka.</x:v>
      </x:c>
      <x:c r="C62" s="52"/>
      <x:c r="D62" s="52"/>
      <x:c r="E62" s="52"/>
      <x:c r="F62" s="52"/>
      <x:c r="G62" s="52"/>
      <x:c r="H62" s="52"/>
    </x:row>
    <x:row r="63">
      <x:c r="A63" s="52"/>
      <x:c r="B63" s="52"/>
      <x:c r="C63" s="52"/>
      <x:c r="D63" s="52"/>
      <x:c r="E63" s="52"/>
      <x:c r="F63" s="52"/>
      <x:c r="G63" s="52"/>
      <x:c r="H63" s="52"/>
    </x:row>
    <x:row r="64" ht="36" customHeight="1">
      <x:c r="A64" s="36" t="str">
        <x:v>No.</x:v>
      </x:c>
      <x:c r="B64" s="36" t="str">
        <x:v>KPI Detail / What to Check</x:v>
      </x:c>
      <x:c r="C64" s="36" t="str">
        <x:v>Actual Result</x:v>
      </x:c>
      <x:c r="D64" s="36" t="str">
        <x:v>Achievement %
(0–100)</x:v>
      </x:c>
      <x:c r="E64" s="36" t="str">
        <x:v>Evidence / Proof</x:v>
      </x:c>
      <x:c r="F64" s="36" t="str">
        <x:v>Status</x:v>
      </x:c>
      <x:c r="G64" s="36" t="str">
        <x:v>Issue / Root Cause</x:v>
      </x:c>
      <x:c r="H64" s="36" t="str">
        <x:v>Action / Follow-up</x:v>
      </x:c>
    </x:row>
    <x:row r="65" ht="52" customHeight="1">
      <x:c r="A65" s="16" t="n">
        <x:v>1</x:v>
      </x:c>
      <x:c r="B65" s="16" t="str">
        <x:v>100% produk ACC memiliki asset visual dan info minimum katalog.</x:v>
      </x:c>
      <x:c r="C65" s="54" t="str"/>
      <x:c r="D65" s="54" t="str"/>
      <x:c r="E65" s="54" t="str"/>
      <x:c r="F65" s="46" t="str">
        <x:f>IF(D65="","",IF(D65&gt;=90,"On Track",IF(D65&gt;=80,"Good",IF(D65&gt;=70,"Need Improvement","Priority"))))</x:f>
      </x:c>
      <x:c r="G65" s="54" t="str"/>
      <x:c r="H65" s="54" t="str"/>
    </x:row>
    <x:row r="66" ht="52" customHeight="1">
      <x:c r="A66" s="16" t="n">
        <x:v>2</x:v>
      </x:c>
      <x:c r="B66" s="16" t="str">
        <x:v>Katalog diperbarui minimal 1x/bulan bila ada perubahan produk.</x:v>
      </x:c>
      <x:c r="C66" s="54" t="str"/>
      <x:c r="D66" s="54" t="str"/>
      <x:c r="E66" s="54" t="str"/>
      <x:c r="F66" s="46" t="str">
        <x:f>IF(D66="","",IF(D66&gt;=90,"On Track",IF(D66&gt;=80,"Good",IF(D66&gt;=70,"Need Improvement","Priority"))))</x:f>
      </x:c>
      <x:c r="G66" s="54" t="str"/>
      <x:c r="H66" s="54" t="str"/>
    </x:row>
    <x:row r="67" ht="52" customHeight="1">
      <x:c r="A67" s="16" t="n">
        <x:v>3</x:v>
      </x:c>
      <x:c r="B67" s="16" t="str">
        <x:v>100% file handover dapat dibuka oleh Technical Specialist.</x:v>
      </x:c>
      <x:c r="C67" s="54" t="str"/>
      <x:c r="D67" s="54" t="str"/>
      <x:c r="E67" s="54" t="str"/>
      <x:c r="F67" s="46" t="str">
        <x:f>IF(D67="","",IF(D67&gt;=90,"On Track",IF(D67&gt;=80,"Good",IF(D67&gt;=70,"Need Improvement","Priority"))))</x:f>
      </x:c>
      <x:c r="G67" s="54" t="str"/>
      <x:c r="H67" s="54" t="str"/>
    </x:row>
    <x:row r="68">
      <x:c r="A68" s="26" t="str">
        <x:v>Card Score</x:v>
      </x:c>
      <x:c r="B68" s="46" t="str">
        <x:f>IF(COUNT(D65:D67)=0,"",AVERAGE(D65:D67))</x:f>
      </x:c>
      <x:c r="C68" s="26" t="str">
        <x:v>Weighted Score</x:v>
      </x:c>
      <x:c r="D68" s="46" t="str">
        <x:f>IF(B68="","",B68*$B$60)</x:f>
      </x:c>
      <x:c r="E68" s="26" t="str">
        <x:v>Card Status</x:v>
      </x:c>
      <x:c r="F68" s="46" t="str">
        <x:f>IF(COUNT(D65:D67)=0,"Waiting for Input",IF(B68&gt;=90,"On Track",IF(B68&gt;=80,"Good",IF(B68&gt;=70,"Need Improvement","Priority"))))</x:f>
        <x:v>Waiting for Input</x:v>
      </x:c>
      <x:c r="G68" s="52"/>
      <x:c r="H68" s="52"/>
    </x:row>
    <x:row r="69" ht="34" customHeight="1">
      <x:c r="A69" s="26" t="str">
        <x:v>Overall Root Cause / Key Finding</x:v>
      </x:c>
      <x:c r="B69" s="54" t="str"/>
      <x:c r="C69" s="52"/>
      <x:c r="D69" s="52"/>
      <x:c r="E69" s="52"/>
      <x:c r="F69" s="52"/>
      <x:c r="G69" s="52"/>
      <x:c r="H69" s="52"/>
    </x:row>
    <x:row r="70" ht="34" customHeight="1">
      <x:c r="A70" s="26" t="str">
        <x:v>Action Plan, PIC &amp; Due Date</x:v>
      </x:c>
      <x:c r="B70" s="54" t="str"/>
      <x:c r="C70" s="52"/>
      <x:c r="D70" s="52"/>
      <x:c r="E70" s="52"/>
      <x:c r="F70" s="52"/>
      <x:c r="G70" s="52"/>
      <x:c r="H70" s="52"/>
    </x:row>
    <x:row r="71" ht="34" customHeight="1">
      <x:c r="A71" s="26" t="str">
        <x:v>Reviewer Note</x:v>
      </x:c>
      <x:c r="B71" s="54" t="str"/>
      <x:c r="C71" s="52"/>
      <x:c r="D71" s="52"/>
      <x:c r="E71" s="52"/>
      <x:c r="F71" s="52"/>
      <x:c r="G71" s="52"/>
      <x:c r="H71" s="52"/>
    </x:row>
    <x:row r="72">
      <x:c r="A72" s="52"/>
      <x:c r="B72" s="52"/>
      <x:c r="C72" s="52"/>
      <x:c r="D72" s="52"/>
      <x:c r="E72" s="52"/>
      <x:c r="F72" s="52"/>
      <x:c r="G72" s="52"/>
      <x:c r="H72" s="52"/>
    </x:row>
    <x:row r="73">
      <x:c r="A73" s="52"/>
      <x:c r="B73" s="52"/>
      <x:c r="C73" s="52"/>
      <x:c r="D73" s="52"/>
      <x:c r="E73" s="52"/>
      <x:c r="F73" s="52"/>
      <x:c r="G73" s="52"/>
      <x:c r="H73" s="52"/>
    </x:row>
  </x:sheetData>
  <x:mergeCells>
    <x:mergeCell ref="A1:H1"/>
    <x:mergeCell ref="A5:H5"/>
    <x:mergeCell ref="A13:H13"/>
    <x:mergeCell ref="B14:H14"/>
    <x:mergeCell ref="D15:H15"/>
    <x:mergeCell ref="B16:H16"/>
    <x:mergeCell ref="B17:H17"/>
    <x:mergeCell ref="F23:H23"/>
    <x:mergeCell ref="B24:H24"/>
    <x:mergeCell ref="B25:H25"/>
    <x:mergeCell ref="B26:H26"/>
    <x:mergeCell ref="A28:H28"/>
    <x:mergeCell ref="B29:H29"/>
    <x:mergeCell ref="D30:H30"/>
    <x:mergeCell ref="B31:H31"/>
    <x:mergeCell ref="B32:H32"/>
    <x:mergeCell ref="F38:H38"/>
    <x:mergeCell ref="B39:H39"/>
    <x:mergeCell ref="B40:H40"/>
    <x:mergeCell ref="B41:H41"/>
    <x:mergeCell ref="A43:H43"/>
    <x:mergeCell ref="B44:H44"/>
    <x:mergeCell ref="D45:H45"/>
    <x:mergeCell ref="B46:H46"/>
    <x:mergeCell ref="B47:H47"/>
    <x:mergeCell ref="F53:H53"/>
    <x:mergeCell ref="B54:H54"/>
    <x:mergeCell ref="B55:H55"/>
    <x:mergeCell ref="B56:H56"/>
    <x:mergeCell ref="A58:H58"/>
    <x:mergeCell ref="B59:H59"/>
    <x:mergeCell ref="D60:H60"/>
    <x:mergeCell ref="B61:H61"/>
    <x:mergeCell ref="B62:H62"/>
    <x:mergeCell ref="F68:H68"/>
    <x:mergeCell ref="B69:H69"/>
    <x:mergeCell ref="B70:H70"/>
    <x:mergeCell ref="B71:H71"/>
    <x:mergeCell ref="A11:B11"/>
    <x:mergeCell ref="G11:H11"/>
    <x:mergeCell ref="A12:H12"/>
  </x:mergeCells>
  <x:conditionalFormatting sqref="D20:D20">
    <x:cfRule type="cellIs" dxfId="366" priority="1" operator="greaterThanOrEqual">
      <x:formula>90</x:formula>
    </x:cfRule>
    <x:cfRule type="cellIs" dxfId="367" priority="2" operator="between">
      <x:formula>70</x:formula>
    </x:cfRule>
    <x:cfRule type="cellIs" dxfId="368" priority="3" operator="lessThan">
      <x:formula>70</x:formula>
    </x:cfRule>
  </x:conditionalFormatting>
  <x:conditionalFormatting sqref="D21:D21">
    <x:cfRule type="cellIs" dxfId="369" priority="4" operator="greaterThanOrEqual">
      <x:formula>90</x:formula>
    </x:cfRule>
    <x:cfRule type="cellIs" dxfId="370" priority="5" operator="between">
      <x:formula>70</x:formula>
    </x:cfRule>
    <x:cfRule type="cellIs" dxfId="371" priority="6" operator="lessThan">
      <x:formula>70</x:formula>
    </x:cfRule>
  </x:conditionalFormatting>
  <x:conditionalFormatting sqref="D22:D22">
    <x:cfRule type="cellIs" dxfId="372" priority="7" operator="greaterThanOrEqual">
      <x:formula>90</x:formula>
    </x:cfRule>
    <x:cfRule type="cellIs" dxfId="373" priority="8" operator="between">
      <x:formula>70</x:formula>
    </x:cfRule>
    <x:cfRule type="cellIs" dxfId="374" priority="9" operator="lessThan">
      <x:formula>70</x:formula>
    </x:cfRule>
  </x:conditionalFormatting>
  <x:conditionalFormatting sqref="D35:D35">
    <x:cfRule type="cellIs" dxfId="375" priority="10" operator="greaterThanOrEqual">
      <x:formula>90</x:formula>
    </x:cfRule>
    <x:cfRule type="cellIs" dxfId="376" priority="11" operator="between">
      <x:formula>70</x:formula>
    </x:cfRule>
    <x:cfRule type="cellIs" dxfId="377" priority="12" operator="lessThan">
      <x:formula>70</x:formula>
    </x:cfRule>
  </x:conditionalFormatting>
  <x:conditionalFormatting sqref="D36:D36">
    <x:cfRule type="cellIs" dxfId="378" priority="13" operator="greaterThanOrEqual">
      <x:formula>90</x:formula>
    </x:cfRule>
    <x:cfRule type="cellIs" dxfId="379" priority="14" operator="between">
      <x:formula>70</x:formula>
    </x:cfRule>
    <x:cfRule type="cellIs" dxfId="380" priority="15" operator="lessThan">
      <x:formula>70</x:formula>
    </x:cfRule>
  </x:conditionalFormatting>
  <x:conditionalFormatting sqref="D37:D37">
    <x:cfRule type="cellIs" dxfId="381" priority="16" operator="greaterThanOrEqual">
      <x:formula>90</x:formula>
    </x:cfRule>
    <x:cfRule type="cellIs" dxfId="382" priority="17" operator="between">
      <x:formula>70</x:formula>
    </x:cfRule>
    <x:cfRule type="cellIs" dxfId="383" priority="18" operator="lessThan">
      <x:formula>70</x:formula>
    </x:cfRule>
  </x:conditionalFormatting>
  <x:conditionalFormatting sqref="D50:D50">
    <x:cfRule type="cellIs" dxfId="384" priority="19" operator="greaterThanOrEqual">
      <x:formula>90</x:formula>
    </x:cfRule>
    <x:cfRule type="cellIs" dxfId="385" priority="20" operator="between">
      <x:formula>70</x:formula>
    </x:cfRule>
    <x:cfRule type="cellIs" dxfId="386" priority="21" operator="lessThan">
      <x:formula>70</x:formula>
    </x:cfRule>
  </x:conditionalFormatting>
  <x:conditionalFormatting sqref="D51:D51">
    <x:cfRule type="cellIs" dxfId="387" priority="22" operator="greaterThanOrEqual">
      <x:formula>90</x:formula>
    </x:cfRule>
    <x:cfRule type="cellIs" dxfId="388" priority="23" operator="between">
      <x:formula>70</x:formula>
    </x:cfRule>
    <x:cfRule type="cellIs" dxfId="389" priority="24" operator="lessThan">
      <x:formula>70</x:formula>
    </x:cfRule>
  </x:conditionalFormatting>
  <x:conditionalFormatting sqref="D52:D52">
    <x:cfRule type="cellIs" dxfId="390" priority="25" operator="greaterThanOrEqual">
      <x:formula>90</x:formula>
    </x:cfRule>
    <x:cfRule type="cellIs" dxfId="391" priority="26" operator="between">
      <x:formula>70</x:formula>
    </x:cfRule>
    <x:cfRule type="cellIs" dxfId="392" priority="27" operator="lessThan">
      <x:formula>70</x:formula>
    </x:cfRule>
  </x:conditionalFormatting>
  <x:conditionalFormatting sqref="D65:D65">
    <x:cfRule type="cellIs" dxfId="393" priority="28" operator="greaterThanOrEqual">
      <x:formula>90</x:formula>
    </x:cfRule>
    <x:cfRule type="cellIs" dxfId="394" priority="29" operator="between">
      <x:formula>70</x:formula>
    </x:cfRule>
    <x:cfRule type="cellIs" dxfId="395" priority="30" operator="lessThan">
      <x:formula>70</x:formula>
    </x:cfRule>
  </x:conditionalFormatting>
  <x:conditionalFormatting sqref="D66:D66">
    <x:cfRule type="cellIs" dxfId="396" priority="31" operator="greaterThanOrEqual">
      <x:formula>90</x:formula>
    </x:cfRule>
    <x:cfRule type="cellIs" dxfId="397" priority="32" operator="between">
      <x:formula>70</x:formula>
    </x:cfRule>
    <x:cfRule type="cellIs" dxfId="398" priority="33" operator="lessThan">
      <x:formula>70</x:formula>
    </x:cfRule>
  </x:conditionalFormatting>
  <x:conditionalFormatting sqref="D67:D67">
    <x:cfRule type="cellIs" dxfId="399" priority="34" operator="greaterThanOrEqual">
      <x:formula>90</x:formula>
    </x:cfRule>
    <x:cfRule type="cellIs" dxfId="400" priority="35" operator="between">
      <x:formula>70</x:formula>
    </x:cfRule>
    <x:cfRule type="cellIs" dxfId="401" priority="36" operator="lessThan">
      <x:formula>70</x:formula>
    </x:cfRule>
  </x:conditionalFormatting>
  <x:dataValidations count="12"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22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37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  <x:dataValidation type="list" sqref="D52">
      <x:formula1>"0,5,10,15,20,25,30,35,40,45,50,55,60,65,70,75,80,85,90,95,100"</x:formula1>
    </x:dataValidation>
    <x:dataValidation type="list" sqref="D65">
      <x:formula1>"0,5,10,15,20,25,30,35,40,45,50,55,60,65,70,75,80,85,90,95,100"</x:formula1>
    </x:dataValidation>
    <x:dataValidation type="list" sqref="D66">
      <x:formula1>"0,5,10,15,20,25,30,35,40,45,50,55,60,65,70,75,80,85,90,95,100"</x:formula1>
    </x:dataValidation>
    <x:dataValidation type="list" sqref="D67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TECHNICAL &amp; BLUEPRINT SPECIALIST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Research &amp; Development</x:v>
      </x:c>
      <x:c r="C2" s="26" t="str">
        <x:v>KPI Code</x:v>
      </x:c>
      <x:c r="D2" s="16" t="str">
        <x:v>KPI-RND-TEC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Kepala R&amp;D</x:v>
      </x:c>
      <x:c r="C3" s="26" t="str">
        <x:v>Headcount Reference</x:v>
      </x:c>
      <x:c r="D3" s="16" t="str">
        <x:v>1</x:v>
      </x:c>
      <x:c r="E3" s="26" t="str">
        <x:v>Applicable KPI</x:v>
      </x:c>
      <x:c r="F3" s="16" t="n">
        <x:v>4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Uji Material &amp; Durability</x:v>
      </x:c>
      <x:c r="C7" s="68" t="n">
        <x:v>0.25</x:v>
      </x:c>
      <x:c r="D7" s="46" t="n">
        <x:f>B23</x:f>
        <x:v>0</x:v>
      </x:c>
      <x:c r="E7" s="46" t="n">
        <x:f>D23</x:f>
        <x:v>0</x:v>
      </x:c>
      <x:c r="F7" s="46" t="str">
        <x:f>F23</x:f>
        <x:v>Waiting for Input</x:v>
      </x:c>
      <x:c r="G7" s="16" t="str">
        <x:v>WI-RND-007, WI-RND-008
Bukti: form uji bahan, durability report, foto/video.</x:v>
      </x:c>
      <x:c r="H7" s="16" t="str">
        <x:v>RC-KPI-RND-TEC-01</x:v>
      </x:c>
    </x:row>
    <x:row r="8" ht="36" customHeight="1">
      <x:c r="A8" s="16" t="n">
        <x:v>2</x:v>
      </x:c>
      <x:c r="B8" s="16" t="str">
        <x:v>Manufacturing Readiness / Gatekeeper</x:v>
      </x:c>
      <x:c r="C8" s="68" t="n">
        <x:v>0.25</x:v>
      </x:c>
      <x:c r="D8" s="46" t="n">
        <x:f>B38</x:f>
        <x:v>0</x:v>
      </x:c>
      <x:c r="E8" s="46" t="n">
        <x:f>D38</x:f>
        <x:v>0</x:v>
      </x:c>
      <x:c r="F8" s="46" t="str">
        <x:f>F38</x:f>
        <x:v>Waiting for Input</x:v>
      </x:c>
      <x:c r="G8" s="16" t="str">
        <x:v>WI-RND-010
Bukti: review teknis, status readiness, catatan revisi.</x:v>
      </x:c>
      <x:c r="H8" s="16" t="str">
        <x:v>RC-KPI-RND-TEC-02</x:v>
      </x:c>
    </x:row>
    <x:row r="9" ht="36" customHeight="1">
      <x:c r="A9" s="16" t="n">
        <x:v>3</x:v>
      </x:c>
      <x:c r="B9" s="16" t="str">
        <x:v>Tech Pack, HPP &amp; Approval</x:v>
      </x:c>
      <x:c r="C9" s="68" t="n">
        <x:v>0.3</x:v>
      </x:c>
      <x:c r="D9" s="46" t="n">
        <x:f>B53</x:f>
        <x:v>0</x:v>
      </x:c>
      <x:c r="E9" s="46" t="n">
        <x:f>D53</x:f>
        <x:v>0</x:v>
      </x:c>
      <x:c r="F9" s="46" t="str">
        <x:f>F53</x:f>
        <x:v>Waiting for Input</x:v>
      </x:c>
      <x:c r="G9" s="16" t="str">
        <x:v>WI-RND-009, WI-RND-011, WI-RND-012
Bukti: Tech Pack, approval log, HPP reference.</x:v>
      </x:c>
      <x:c r="H9" s="16" t="str">
        <x:v>RC-KPI-RND-TEC-03</x:v>
      </x:c>
    </x:row>
    <x:row r="10" ht="36" customHeight="1">
      <x:c r="A10" s="16" t="n">
        <x:v>4</x:v>
      </x:c>
      <x:c r="B10" s="16" t="str">
        <x:v>Transfer &amp; Supervisi Batch Pertama</x:v>
      </x:c>
      <x:c r="C10" s="68" t="n">
        <x:v>0.2</x:v>
      </x:c>
      <x:c r="D10" s="46" t="n">
        <x:f>B68</x:f>
        <x:v>0</x:v>
      </x:c>
      <x:c r="E10" s="46" t="n">
        <x:f>D68</x:f>
        <x:v>0</x:v>
      </x:c>
      <x:c r="F10" s="46" t="str">
        <x:f>F68</x:f>
        <x:v>Waiting for Input</x:v>
      </x:c>
      <x:c r="G10" s="16" t="str">
        <x:v>WI-RND-013, WI-RND-014
Bukti: berita acara transfer, batch check report, log deviasi.</x:v>
      </x:c>
      <x:c r="H10" s="16" t="str">
        <x:v>RC-KPI-RND-TEC-04</x:v>
      </x:c>
    </x:row>
    <x:row r="11">
      <x:c r="A11" s="62" t="str">
        <x:v>Overall Role Score</x:v>
      </x:c>
      <x:c r="B11" s="52"/>
      <x:c r="C11" s="26" t="str">
        <x:v>Total Weight</x:v>
      </x:c>
      <x:c r="D11" s="68" t="n">
        <x:f>SUM(C7:C10)</x:f>
        <x:v>1</x:v>
      </x:c>
      <x:c r="E11" s="46" t="str">
        <x:f>IF(COUNT(D20:D22,D35:D37,D50:D52,D65:D67)=0,"",SUM(E7:E10))</x:f>
      </x:c>
      <x:c r="F11" s="26" t="str">
        <x:v>Overall Status</x:v>
      </x:c>
      <x:c r="G11" s="46" t="str">
        <x:f>IF(COUNT(D20:D22,D35:D37,D50:D52,D65:D67)=0,"Waiting for Input",IF(E11&gt;=90,"On Track",IF(E11&gt;=80,"Good",IF(E11&gt;=70,"Need Improvement","Priority"))))</x:f>
        <x:v>Waiting for Input</x:v>
      </x:c>
      <x:c r="H11" s="52"/>
    </x:row>
    <x:row r="12" ht="22" customHeight="1">
      <x:c r="A12" s="16" t="str">
        <x:v>Fill yellow cells only. Score output is calculated from the average Achievement % of KPI details in each card.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62" t="str">
        <x:v>RC-KPI-RND-TEC-01 — Uji Material &amp; Durability</x:v>
      </x:c>
      <x:c r="B13" s="52"/>
      <x:c r="C13" s="52"/>
      <x:c r="D13" s="52"/>
      <x:c r="E13" s="52"/>
      <x:c r="F13" s="52"/>
      <x:c r="G13" s="52"/>
      <x:c r="H13" s="52"/>
    </x:row>
    <x:row r="14" ht="24" customHeight="1">
      <x:c r="A14" s="26" t="str">
        <x:v>KPI / Phase</x:v>
      </x:c>
      <x:c r="B14" s="16" t="str">
        <x:v>Uji Material &amp; Durability</x:v>
      </x:c>
      <x:c r="C14" s="52"/>
      <x:c r="D14" s="52"/>
      <x:c r="E14" s="52"/>
      <x:c r="F14" s="52"/>
      <x:c r="G14" s="52"/>
      <x:c r="H14" s="52"/>
    </x:row>
    <x:row r="15" ht="30" customHeight="1">
      <x:c r="A15" s="26" t="str">
        <x:v>Adjusted Weight</x:v>
      </x:c>
      <x:c r="B15" s="68" t="n">
        <x:v>0.25</x:v>
      </x:c>
      <x:c r="C15" s="26" t="str">
        <x:v>WI Reference</x:v>
      </x:c>
      <x:c r="D15" s="16" t="str">
        <x:v>WI-RND-007, WI-RND-008
Bukti: form uji bahan, durability report, foto/video.</x:v>
      </x:c>
      <x:c r="E15" s="52"/>
      <x:c r="F15" s="52"/>
      <x:c r="G15" s="52"/>
      <x:c r="H15" s="52"/>
    </x:row>
    <x:row r="16" ht="36" customHeight="1">
      <x:c r="A16" s="26" t="str">
        <x:v>Objective</x:v>
      </x:c>
      <x:c r="B16" s="16" t="str">
        <x:v>Memberikan status layak/tidak layak pada bahan dan prototype berdasarkan pengujian yang tercatat.</x:v>
      </x:c>
      <x:c r="C16" s="52"/>
      <x:c r="D16" s="52"/>
      <x:c r="E16" s="52"/>
      <x:c r="F16" s="52"/>
      <x:c r="G16" s="52"/>
      <x:c r="H16" s="52"/>
    </x:row>
    <x:row r="17" ht="32" customHeight="1">
      <x:c r="A17" s="26" t="str">
        <x:v>Target Baseline</x:v>
      </x:c>
      <x:c r="B17" s="16" t="str">
        <x:v>100% test form + status; 0 produk gagal uji menuju mass production.</x:v>
      </x:c>
      <x:c r="C17" s="52"/>
      <x:c r="D17" s="52"/>
      <x:c r="E17" s="52"/>
      <x:c r="F17" s="52"/>
      <x:c r="G17" s="52"/>
      <x:c r="H17" s="52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 ht="36" customHeight="1">
      <x:c r="A19" s="36" t="str">
        <x:v>No.</x:v>
      </x:c>
      <x:c r="B19" s="36" t="str">
        <x:v>KPI Detail / What to Check</x:v>
      </x:c>
      <x:c r="C19" s="36" t="str">
        <x:v>Actual Result</x:v>
      </x:c>
      <x:c r="D19" s="36" t="str">
        <x:v>Achievement %
(0–100)</x:v>
      </x:c>
      <x:c r="E19" s="36" t="str">
        <x:v>Evidence / Proof</x:v>
      </x:c>
      <x:c r="F19" s="36" t="str">
        <x:v>Status</x:v>
      </x:c>
      <x:c r="G19" s="36" t="str">
        <x:v>Issue / Root Cause</x:v>
      </x:c>
      <x:c r="H19" s="36" t="str">
        <x:v>Action / Follow-up</x:v>
      </x:c>
    </x:row>
    <x:row r="20" ht="52" customHeight="1">
      <x:c r="A20" s="16" t="n">
        <x:v>1</x:v>
      </x:c>
      <x:c r="B20" s="16" t="str">
        <x:v>100% bahan/prototype baru memiliki form uji dan status kelayakan.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2</x:v>
      </x:c>
      <x:c r="B21" s="16" t="str">
        <x:v>100% hasil uji disertai dokumentasi foto/video bila relevan.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 ht="52" customHeight="1">
      <x:c r="A22" s="16" t="n">
        <x:v>3</x:v>
      </x:c>
      <x:c r="B22" s="16" t="str">
        <x:v>0 produk tidak lulus uji diteruskan ke produksi massal.</x:v>
      </x:c>
      <x:c r="C22" s="54" t="str"/>
      <x:c r="D22" s="54" t="str"/>
      <x:c r="E22" s="54" t="str"/>
      <x:c r="F22" s="46" t="str">
        <x:f>IF(D22="","",IF(D22&gt;=90,"On Track",IF(D22&gt;=80,"Good",IF(D22&gt;=70,"Need Improvement","Priority"))))</x:f>
      </x:c>
      <x:c r="G22" s="54" t="str"/>
      <x:c r="H22" s="54" t="str"/>
    </x:row>
    <x:row r="23">
      <x:c r="A23" s="26" t="str">
        <x:v>Card Score</x:v>
      </x:c>
      <x:c r="B23" s="46" t="str">
        <x:f>IF(COUNT(D20:D22)=0,"",AVERAGE(D20:D22))</x:f>
      </x:c>
      <x:c r="C23" s="26" t="str">
        <x:v>Weighted Score</x:v>
      </x:c>
      <x:c r="D23" s="46" t="str">
        <x:f>IF(B23="","",B23*$B$15)</x:f>
      </x:c>
      <x:c r="E23" s="26" t="str">
        <x:v>Card Status</x:v>
      </x:c>
      <x:c r="F23" s="46" t="str">
        <x:f>IF(COUNT(D20:D22)=0,"Waiting for Input",IF(B23&gt;=90,"On Track",IF(B23&gt;=80,"Good",IF(B23&gt;=70,"Need Improvement","Priority"))))</x:f>
        <x:v>Waiting for Input</x:v>
      </x:c>
      <x:c r="G23" s="52"/>
      <x:c r="H23" s="52"/>
    </x:row>
    <x:row r="24" ht="34" customHeight="1">
      <x:c r="A24" s="26" t="str">
        <x:v>Overall Root Cause / Key Finding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Action Plan, PIC &amp; Due Date</x:v>
      </x:c>
      <x:c r="B25" s="54" t="str"/>
      <x:c r="C25" s="52"/>
      <x:c r="D25" s="52"/>
      <x:c r="E25" s="52"/>
      <x:c r="F25" s="52"/>
      <x:c r="G25" s="52"/>
      <x:c r="H25" s="52"/>
    </x:row>
    <x:row r="26" ht="34" customHeight="1">
      <x:c r="A26" s="26" t="str">
        <x:v>Reviewer Note</x:v>
      </x:c>
      <x:c r="B26" s="54" t="str"/>
      <x:c r="C26" s="52"/>
      <x:c r="D26" s="52"/>
      <x:c r="E26" s="52"/>
      <x:c r="F26" s="52"/>
      <x:c r="G26" s="52"/>
      <x:c r="H26" s="52"/>
    </x:row>
    <x:row r="27">
      <x:c r="A27" s="52"/>
      <x:c r="B27" s="52"/>
      <x:c r="C27" s="52"/>
      <x:c r="D27" s="52"/>
      <x:c r="E27" s="52"/>
      <x:c r="F27" s="52"/>
      <x:c r="G27" s="52"/>
      <x:c r="H27" s="52"/>
    </x:row>
    <x:row r="28" ht="24" customHeight="1">
      <x:c r="A28" s="62" t="str">
        <x:v>RC-KPI-RND-TEC-02 — Manufacturing Readiness / Gatekeeper</x:v>
      </x:c>
      <x:c r="B28" s="52"/>
      <x:c r="C28" s="52"/>
      <x:c r="D28" s="52"/>
      <x:c r="E28" s="52"/>
      <x:c r="F28" s="52"/>
      <x:c r="G28" s="52"/>
      <x:c r="H28" s="52"/>
    </x:row>
    <x:row r="29" ht="24" customHeight="1">
      <x:c r="A29" s="26" t="str">
        <x:v>KPI / Phase</x:v>
      </x:c>
      <x:c r="B29" s="16" t="str">
        <x:v>Manufacturing Readiness / Gatekeeper</x:v>
      </x:c>
      <x:c r="C29" s="52"/>
      <x:c r="D29" s="52"/>
      <x:c r="E29" s="52"/>
      <x:c r="F29" s="52"/>
      <x:c r="G29" s="52"/>
      <x:c r="H29" s="52"/>
    </x:row>
    <x:row r="30" ht="30" customHeight="1">
      <x:c r="A30" s="26" t="str">
        <x:v>Adjusted Weight</x:v>
      </x:c>
      <x:c r="B30" s="68" t="n">
        <x:v>0.25</x:v>
      </x:c>
      <x:c r="C30" s="26" t="str">
        <x:v>WI Reference</x:v>
      </x:c>
      <x:c r="D30" s="16" t="str">
        <x:v>WI-RND-010
Bukti: review teknis, status readiness, catatan revisi.</x:v>
      </x:c>
      <x:c r="E30" s="52"/>
      <x:c r="F30" s="52"/>
      <x:c r="G30" s="52"/>
      <x:c r="H30" s="52"/>
    </x:row>
    <x:row r="31" ht="36" customHeight="1">
      <x:c r="A31" s="26" t="str">
        <x:v>Objective</x:v>
      </x:c>
      <x:c r="B31" s="16" t="str">
        <x:v>Menilai setiap desain dari sisi ukuran, detail, warna, bahan, metode produksi, waktu proses, dan risiko biaya.</x:v>
      </x:c>
      <x:c r="C31" s="52"/>
      <x:c r="D31" s="52"/>
      <x:c r="E31" s="52"/>
      <x:c r="F31" s="52"/>
      <x:c r="G31" s="52"/>
      <x:c r="H31" s="52"/>
    </x:row>
    <x:row r="32" ht="32" customHeight="1">
      <x:c r="A32" s="26" t="str">
        <x:v>Target Baseline</x:v>
      </x:c>
      <x:c r="B32" s="16" t="str">
        <x:v>100% keputusan readiness; 0 bypass; 100% catatan spesifik.</x:v>
      </x:c>
      <x:c r="C32" s="52"/>
      <x:c r="D32" s="52"/>
      <x:c r="E32" s="52"/>
      <x:c r="F32" s="52"/>
      <x:c r="G32" s="52"/>
      <x:c r="H32" s="52"/>
    </x:row>
    <x:row r="33">
      <x:c r="A33" s="52"/>
      <x:c r="B33" s="52"/>
      <x:c r="C33" s="52"/>
      <x:c r="D33" s="52"/>
      <x:c r="E33" s="52"/>
      <x:c r="F33" s="52"/>
      <x:c r="G33" s="52"/>
      <x:c r="H33" s="52"/>
    </x:row>
    <x:row r="34" ht="36" customHeight="1">
      <x:c r="A34" s="36" t="str">
        <x:v>No.</x:v>
      </x:c>
      <x:c r="B34" s="36" t="str">
        <x:v>KPI Detail / What to Check</x:v>
      </x:c>
      <x:c r="C34" s="36" t="str">
        <x:v>Actual Result</x:v>
      </x:c>
      <x:c r="D34" s="36" t="str">
        <x:v>Achievement %
(0–100)</x:v>
      </x:c>
      <x:c r="E34" s="36" t="str">
        <x:v>Evidence / Proof</x:v>
      </x:c>
      <x:c r="F34" s="36" t="str">
        <x:v>Status</x:v>
      </x:c>
      <x:c r="G34" s="36" t="str">
        <x:v>Issue / Root Cause</x:v>
      </x:c>
      <x:c r="H34" s="36" t="str">
        <x:v>Action / Follow-up</x:v>
      </x:c>
    </x:row>
    <x:row r="35" ht="52" customHeight="1">
      <x:c r="A35" s="16" t="n">
        <x:v>1</x:v>
      </x:c>
      <x:c r="B35" s="16" t="str">
        <x:v>100% desain yang diterima diberi keputusan YA / TIDAK dengan catatan teknis.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2</x:v>
      </x:c>
      <x:c r="B36" s="16" t="str">
        <x:v>0 desain lanjut ke Tech Pack tanpa status manufacturing ready.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 ht="52" customHeight="1">
      <x:c r="A37" s="16" t="n">
        <x:v>3</x:v>
      </x:c>
      <x:c r="B37" s="16" t="str">
        <x:v>Catatan revisi spesifik dan dapat ditindaklanjuti.</x:v>
      </x:c>
      <x:c r="C37" s="54" t="str"/>
      <x:c r="D37" s="54" t="str"/>
      <x:c r="E37" s="54" t="str"/>
      <x:c r="F37" s="46" t="str">
        <x:f>IF(D37="","",IF(D37&gt;=90,"On Track",IF(D37&gt;=80,"Good",IF(D37&gt;=70,"Need Improvement","Priority"))))</x:f>
      </x:c>
      <x:c r="G37" s="54" t="str"/>
      <x:c r="H37" s="54" t="str"/>
    </x:row>
    <x:row r="38">
      <x:c r="A38" s="26" t="str">
        <x:v>Card Score</x:v>
      </x:c>
      <x:c r="B38" s="46" t="str">
        <x:f>IF(COUNT(D35:D37)=0,"",AVERAGE(D35:D37))</x:f>
      </x:c>
      <x:c r="C38" s="26" t="str">
        <x:v>Weighted Score</x:v>
      </x:c>
      <x:c r="D38" s="46" t="str">
        <x:f>IF(B38="","",B38*$B$30)</x:f>
      </x:c>
      <x:c r="E38" s="26" t="str">
        <x:v>Card Status</x:v>
      </x:c>
      <x:c r="F38" s="46" t="str">
        <x:f>IF(COUNT(D35:D37)=0,"Waiting for Input",IF(B38&gt;=90,"On Track",IF(B38&gt;=80,"Good",IF(B38&gt;=70,"Need Improvement","Priority"))))</x:f>
        <x:v>Waiting for Input</x:v>
      </x:c>
      <x:c r="G38" s="52"/>
      <x:c r="H38" s="52"/>
    </x:row>
    <x:row r="39" ht="34" customHeight="1">
      <x:c r="A39" s="26" t="str">
        <x:v>Overall Root Cause / Key Finding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Action Plan, PIC &amp; Due Date</x:v>
      </x:c>
      <x:c r="B40" s="54" t="str"/>
      <x:c r="C40" s="52"/>
      <x:c r="D40" s="52"/>
      <x:c r="E40" s="52"/>
      <x:c r="F40" s="52"/>
      <x:c r="G40" s="52"/>
      <x:c r="H40" s="52"/>
    </x:row>
    <x:row r="41" ht="34" customHeight="1">
      <x:c r="A41" s="26" t="str">
        <x:v>Reviewer Note</x:v>
      </x:c>
      <x:c r="B41" s="54" t="str"/>
      <x:c r="C41" s="52"/>
      <x:c r="D41" s="52"/>
      <x:c r="E41" s="52"/>
      <x:c r="F41" s="52"/>
      <x:c r="G41" s="52"/>
      <x:c r="H41" s="52"/>
    </x:row>
    <x:row r="42">
      <x:c r="A42" s="52"/>
      <x:c r="B42" s="52"/>
      <x:c r="C42" s="52"/>
      <x:c r="D42" s="52"/>
      <x:c r="E42" s="52"/>
      <x:c r="F42" s="52"/>
      <x:c r="G42" s="52"/>
      <x:c r="H42" s="52"/>
    </x:row>
    <x:row r="43" ht="24" customHeight="1">
      <x:c r="A43" s="62" t="str">
        <x:v>RC-KPI-RND-TEC-03 — Tech Pack, HPP &amp; Approval</x:v>
      </x:c>
      <x:c r="B43" s="52"/>
      <x:c r="C43" s="52"/>
      <x:c r="D43" s="52"/>
      <x:c r="E43" s="52"/>
      <x:c r="F43" s="52"/>
      <x:c r="G43" s="52"/>
      <x:c r="H43" s="52"/>
    </x:row>
    <x:row r="44" ht="24" customHeight="1">
      <x:c r="A44" s="26" t="str">
        <x:v>KPI / Phase</x:v>
      </x:c>
      <x:c r="B44" s="16" t="str">
        <x:v>Tech Pack, HPP &amp; Approval</x:v>
      </x:c>
      <x:c r="C44" s="52"/>
      <x:c r="D44" s="52"/>
      <x:c r="E44" s="52"/>
      <x:c r="F44" s="52"/>
      <x:c r="G44" s="52"/>
      <x:c r="H44" s="52"/>
    </x:row>
    <x:row r="45" ht="30" customHeight="1">
      <x:c r="A45" s="26" t="str">
        <x:v>Adjusted Weight</x:v>
      </x:c>
      <x:c r="B45" s="68" t="n">
        <x:v>0.3</x:v>
      </x:c>
      <x:c r="C45" s="26" t="str">
        <x:v>WI Reference</x:v>
      </x:c>
      <x:c r="D45" s="16" t="str">
        <x:v>WI-RND-009, WI-RND-011, WI-RND-012
Bukti: Tech Pack, approval log, HPP reference.</x:v>
      </x:c>
      <x:c r="E45" s="52"/>
      <x:c r="F45" s="52"/>
      <x:c r="G45" s="52"/>
      <x:c r="H45" s="52"/>
    </x:row>
    <x:row r="46" ht="36" customHeight="1">
      <x:c r="A46" s="26" t="str">
        <x:v>Objective</x:v>
      </x:c>
      <x:c r="B46" s="16" t="str">
        <x:v>Menyusun Tech Pack lengkap dan memastikan referensi HPP/material siap untuk approval sebelum dirilis.</x:v>
      </x:c>
      <x:c r="C46" s="52"/>
      <x:c r="D46" s="52"/>
      <x:c r="E46" s="52"/>
      <x:c r="F46" s="52"/>
      <x:c r="G46" s="52"/>
      <x:c r="H46" s="52"/>
    </x:row>
    <x:row r="47" ht="32" customHeight="1">
      <x:c r="A47" s="26" t="str">
        <x:v>Target Baseline</x:v>
      </x:c>
      <x:c r="B47" s="16" t="str">
        <x:v>100% tech pack lengkap &amp; approved; 100% release punya referensi HPP.</x:v>
      </x:c>
      <x:c r="C47" s="52"/>
      <x:c r="D47" s="52"/>
      <x:c r="E47" s="52"/>
      <x:c r="F47" s="52"/>
      <x:c r="G47" s="52"/>
      <x:c r="H47" s="52"/>
    </x:row>
    <x:row r="48">
      <x:c r="A48" s="52"/>
      <x:c r="B48" s="52"/>
      <x:c r="C48" s="52"/>
      <x:c r="D48" s="52"/>
      <x:c r="E48" s="52"/>
      <x:c r="F48" s="52"/>
      <x:c r="G48" s="52"/>
      <x:c r="H48" s="52"/>
    </x:row>
    <x:row r="49" ht="36" customHeight="1">
      <x:c r="A49" s="36" t="str">
        <x:v>No.</x:v>
      </x:c>
      <x:c r="B49" s="36" t="str">
        <x:v>KPI Detail / What to Check</x:v>
      </x:c>
      <x:c r="C49" s="36" t="str">
        <x:v>Actual Result</x:v>
      </x:c>
      <x:c r="D49" s="36" t="str">
        <x:v>Achievement %
(0–100)</x:v>
      </x:c>
      <x:c r="E49" s="36" t="str">
        <x:v>Evidence / Proof</x:v>
      </x:c>
      <x:c r="F49" s="36" t="str">
        <x:v>Status</x:v>
      </x:c>
      <x:c r="G49" s="36" t="str">
        <x:v>Issue / Root Cause</x:v>
      </x:c>
      <x:c r="H49" s="36" t="str">
        <x:v>Action / Follow-up</x:v>
      </x:c>
    </x:row>
    <x:row r="50" ht="52" customHeight="1">
      <x:c r="A50" s="16" t="n">
        <x:v>1</x:v>
      </x:c>
      <x:c r="B50" s="16" t="str">
        <x:v>100% Tech Pack berisi ukuran, bahan, warna, proses, toleransi, QC, dan risiko.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2</x:v>
      </x:c>
      <x:c r="B51" s="16" t="str">
        <x:v>100% Tech Pack direview/approved sebelum dikirim ke Ops.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 ht="52" customHeight="1">
      <x:c r="A52" s="16" t="n">
        <x:v>3</x:v>
      </x:c>
      <x:c r="B52" s="16" t="str">
        <x:v>100% produk release memiliki referensi HPP atau formula bahan.</x:v>
      </x:c>
      <x:c r="C52" s="54" t="str"/>
      <x:c r="D52" s="54" t="str"/>
      <x:c r="E52" s="54" t="str"/>
      <x:c r="F52" s="46" t="str">
        <x:f>IF(D52="","",IF(D52&gt;=90,"On Track",IF(D52&gt;=80,"Good",IF(D52&gt;=70,"Need Improvement","Priority"))))</x:f>
      </x:c>
      <x:c r="G52" s="54" t="str"/>
      <x:c r="H52" s="54" t="str"/>
    </x:row>
    <x:row r="53">
      <x:c r="A53" s="26" t="str">
        <x:v>Card Score</x:v>
      </x:c>
      <x:c r="B53" s="46" t="str">
        <x:f>IF(COUNT(D50:D52)=0,"",AVERAGE(D50:D52))</x:f>
      </x:c>
      <x:c r="C53" s="26" t="str">
        <x:v>Weighted Score</x:v>
      </x:c>
      <x:c r="D53" s="46" t="str">
        <x:f>IF(B53="","",B53*$B$45)</x:f>
      </x:c>
      <x:c r="E53" s="26" t="str">
        <x:v>Card Status</x:v>
      </x:c>
      <x:c r="F53" s="46" t="str">
        <x:f>IF(COUNT(D50:D52)=0,"Waiting for Input",IF(B53&gt;=90,"On Track",IF(B53&gt;=80,"Good",IF(B53&gt;=70,"Need Improvement","Priority"))))</x:f>
        <x:v>Waiting for Input</x:v>
      </x:c>
      <x:c r="G53" s="52"/>
      <x:c r="H53" s="52"/>
    </x:row>
    <x:row r="54" ht="34" customHeight="1">
      <x:c r="A54" s="26" t="str">
        <x:v>Overall Root Cause / Key Finding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Action Plan, PIC &amp; Due Date</x:v>
      </x:c>
      <x:c r="B55" s="54" t="str"/>
      <x:c r="C55" s="52"/>
      <x:c r="D55" s="52"/>
      <x:c r="E55" s="52"/>
      <x:c r="F55" s="52"/>
      <x:c r="G55" s="52"/>
      <x:c r="H55" s="52"/>
    </x:row>
    <x:row r="56" ht="34" customHeight="1">
      <x:c r="A56" s="26" t="str">
        <x:v>Reviewer Note</x:v>
      </x:c>
      <x:c r="B56" s="54" t="str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  <x:row r="58" ht="24" customHeight="1">
      <x:c r="A58" s="62" t="str">
        <x:v>RC-KPI-RND-TEC-04 — Transfer &amp; Supervisi Batch Pertama</x:v>
      </x:c>
      <x:c r="B58" s="52"/>
      <x:c r="C58" s="52"/>
      <x:c r="D58" s="52"/>
      <x:c r="E58" s="52"/>
      <x:c r="F58" s="52"/>
      <x:c r="G58" s="52"/>
      <x:c r="H58" s="52"/>
    </x:row>
    <x:row r="59" ht="24" customHeight="1">
      <x:c r="A59" s="26" t="str">
        <x:v>KPI / Phase</x:v>
      </x:c>
      <x:c r="B59" s="16" t="str">
        <x:v>Transfer &amp; Supervisi Batch Pertama</x:v>
      </x:c>
      <x:c r="C59" s="52"/>
      <x:c r="D59" s="52"/>
      <x:c r="E59" s="52"/>
      <x:c r="F59" s="52"/>
      <x:c r="G59" s="52"/>
      <x:c r="H59" s="52"/>
    </x:row>
    <x:row r="60" ht="30" customHeight="1">
      <x:c r="A60" s="26" t="str">
        <x:v>Adjusted Weight</x:v>
      </x:c>
      <x:c r="B60" s="68" t="n">
        <x:v>0.2</x:v>
      </x:c>
      <x:c r="C60" s="26" t="str">
        <x:v>WI Reference</x:v>
      </x:c>
      <x:c r="D60" s="16" t="str">
        <x:v>WI-RND-013, WI-RND-014
Bukti: berita acara transfer, batch check report, log deviasi.</x:v>
      </x:c>
      <x:c r="E60" s="52"/>
      <x:c r="F60" s="52"/>
      <x:c r="G60" s="52"/>
      <x:c r="H60" s="52"/>
    </x:row>
    <x:row r="61" ht="36" customHeight="1">
      <x:c r="A61" s="26" t="str">
        <x:v>Objective</x:v>
      </x:c>
      <x:c r="B61" s="16" t="str">
        <x:v>Memastikan Operations memahami dokumen teknis dan hasil batch awal sesuai prototype/Tech Pack.</x:v>
      </x:c>
      <x:c r="C61" s="52"/>
      <x:c r="D61" s="52"/>
      <x:c r="E61" s="52"/>
      <x:c r="F61" s="52"/>
      <x:c r="G61" s="52"/>
      <x:c r="H61" s="52"/>
    </x:row>
    <x:row r="62" ht="32" customHeight="1">
      <x:c r="A62" s="26" t="str">
        <x:v>Target Baseline</x:v>
      </x:c>
      <x:c r="B62" s="16" t="str">
        <x:v>100% handover &amp; batch check; 100% deviasi punya closure.</x:v>
      </x:c>
      <x:c r="C62" s="52"/>
      <x:c r="D62" s="52"/>
      <x:c r="E62" s="52"/>
      <x:c r="F62" s="52"/>
      <x:c r="G62" s="52"/>
      <x:c r="H62" s="52"/>
    </x:row>
    <x:row r="63">
      <x:c r="A63" s="52"/>
      <x:c r="B63" s="52"/>
      <x:c r="C63" s="52"/>
      <x:c r="D63" s="52"/>
      <x:c r="E63" s="52"/>
      <x:c r="F63" s="52"/>
      <x:c r="G63" s="52"/>
      <x:c r="H63" s="52"/>
    </x:row>
    <x:row r="64" ht="36" customHeight="1">
      <x:c r="A64" s="36" t="str">
        <x:v>No.</x:v>
      </x:c>
      <x:c r="B64" s="36" t="str">
        <x:v>KPI Detail / What to Check</x:v>
      </x:c>
      <x:c r="C64" s="36" t="str">
        <x:v>Actual Result</x:v>
      </x:c>
      <x:c r="D64" s="36" t="str">
        <x:v>Achievement %
(0–100)</x:v>
      </x:c>
      <x:c r="E64" s="36" t="str">
        <x:v>Evidence / Proof</x:v>
      </x:c>
      <x:c r="F64" s="36" t="str">
        <x:v>Status</x:v>
      </x:c>
      <x:c r="G64" s="36" t="str">
        <x:v>Issue / Root Cause</x:v>
      </x:c>
      <x:c r="H64" s="36" t="str">
        <x:v>Action / Follow-up</x:v>
      </x:c>
    </x:row>
    <x:row r="65" ht="52" customHeight="1">
      <x:c r="A65" s="16" t="n">
        <x:v>1</x:v>
      </x:c>
      <x:c r="B65" s="16" t="str">
        <x:v>100% produk baru memiliki handover ke Operations.</x:v>
      </x:c>
      <x:c r="C65" s="54" t="str"/>
      <x:c r="D65" s="54" t="str"/>
      <x:c r="E65" s="54" t="str"/>
      <x:c r="F65" s="46" t="str">
        <x:f>IF(D65="","",IF(D65&gt;=90,"On Track",IF(D65&gt;=80,"Good",IF(D65&gt;=70,"Need Improvement","Priority"))))</x:f>
      </x:c>
      <x:c r="G65" s="54" t="str"/>
      <x:c r="H65" s="54" t="str"/>
    </x:row>
    <x:row r="66" ht="52" customHeight="1">
      <x:c r="A66" s="16" t="n">
        <x:v>2</x:v>
      </x:c>
      <x:c r="B66" s="16" t="str">
        <x:v>100% batch pertama diperiksa atau disupervisi.</x:v>
      </x:c>
      <x:c r="C66" s="54" t="str"/>
      <x:c r="D66" s="54" t="str"/>
      <x:c r="E66" s="54" t="str"/>
      <x:c r="F66" s="46" t="str">
        <x:f>IF(D66="","",IF(D66&gt;=90,"On Track",IF(D66&gt;=80,"Good",IF(D66&gt;=70,"Need Improvement","Priority"))))</x:f>
      </x:c>
      <x:c r="G66" s="54" t="str"/>
      <x:c r="H66" s="54" t="str"/>
    </x:row>
    <x:row r="67" ht="52" customHeight="1">
      <x:c r="A67" s="16" t="n">
        <x:v>3</x:v>
      </x:c>
      <x:c r="B67" s="16" t="str">
        <x:v>Deviasi batch pertama dicatat dan ditutup sebelum produksi lanjutan.</x:v>
      </x:c>
      <x:c r="C67" s="54" t="str"/>
      <x:c r="D67" s="54" t="str"/>
      <x:c r="E67" s="54" t="str"/>
      <x:c r="F67" s="46" t="str">
        <x:f>IF(D67="","",IF(D67&gt;=90,"On Track",IF(D67&gt;=80,"Good",IF(D67&gt;=70,"Need Improvement","Priority"))))</x:f>
      </x:c>
      <x:c r="G67" s="54" t="str"/>
      <x:c r="H67" s="54" t="str"/>
    </x:row>
    <x:row r="68">
      <x:c r="A68" s="26" t="str">
        <x:v>Card Score</x:v>
      </x:c>
      <x:c r="B68" s="46" t="str">
        <x:f>IF(COUNT(D65:D67)=0,"",AVERAGE(D65:D67))</x:f>
      </x:c>
      <x:c r="C68" s="26" t="str">
        <x:v>Weighted Score</x:v>
      </x:c>
      <x:c r="D68" s="46" t="str">
        <x:f>IF(B68="","",B68*$B$60)</x:f>
      </x:c>
      <x:c r="E68" s="26" t="str">
        <x:v>Card Status</x:v>
      </x:c>
      <x:c r="F68" s="46" t="str">
        <x:f>IF(COUNT(D65:D67)=0,"Waiting for Input",IF(B68&gt;=90,"On Track",IF(B68&gt;=80,"Good",IF(B68&gt;=70,"Need Improvement","Priority"))))</x:f>
        <x:v>Waiting for Input</x:v>
      </x:c>
      <x:c r="G68" s="52"/>
      <x:c r="H68" s="52"/>
    </x:row>
    <x:row r="69" ht="34" customHeight="1">
      <x:c r="A69" s="26" t="str">
        <x:v>Overall Root Cause / Key Finding</x:v>
      </x:c>
      <x:c r="B69" s="54" t="str"/>
      <x:c r="C69" s="52"/>
      <x:c r="D69" s="52"/>
      <x:c r="E69" s="52"/>
      <x:c r="F69" s="52"/>
      <x:c r="G69" s="52"/>
      <x:c r="H69" s="52"/>
    </x:row>
    <x:row r="70" ht="34" customHeight="1">
      <x:c r="A70" s="26" t="str">
        <x:v>Action Plan, PIC &amp; Due Date</x:v>
      </x:c>
      <x:c r="B70" s="54" t="str"/>
      <x:c r="C70" s="52"/>
      <x:c r="D70" s="52"/>
      <x:c r="E70" s="52"/>
      <x:c r="F70" s="52"/>
      <x:c r="G70" s="52"/>
      <x:c r="H70" s="52"/>
    </x:row>
    <x:row r="71" ht="34" customHeight="1">
      <x:c r="A71" s="26" t="str">
        <x:v>Reviewer Note</x:v>
      </x:c>
      <x:c r="B71" s="54" t="str"/>
      <x:c r="C71" s="52"/>
      <x:c r="D71" s="52"/>
      <x:c r="E71" s="52"/>
      <x:c r="F71" s="52"/>
      <x:c r="G71" s="52"/>
      <x:c r="H71" s="52"/>
    </x:row>
    <x:row r="72">
      <x:c r="A72" s="52"/>
      <x:c r="B72" s="52"/>
      <x:c r="C72" s="52"/>
      <x:c r="D72" s="52"/>
      <x:c r="E72" s="52"/>
      <x:c r="F72" s="52"/>
      <x:c r="G72" s="52"/>
      <x:c r="H72" s="52"/>
    </x:row>
    <x:row r="73">
      <x:c r="A73" s="52"/>
      <x:c r="B73" s="52"/>
      <x:c r="C73" s="52"/>
      <x:c r="D73" s="52"/>
      <x:c r="E73" s="52"/>
      <x:c r="F73" s="52"/>
      <x:c r="G73" s="52"/>
      <x:c r="H73" s="52"/>
    </x:row>
  </x:sheetData>
  <x:mergeCells>
    <x:mergeCell ref="A1:H1"/>
    <x:mergeCell ref="A5:H5"/>
    <x:mergeCell ref="A13:H13"/>
    <x:mergeCell ref="B14:H14"/>
    <x:mergeCell ref="D15:H15"/>
    <x:mergeCell ref="B16:H16"/>
    <x:mergeCell ref="B17:H17"/>
    <x:mergeCell ref="F23:H23"/>
    <x:mergeCell ref="B24:H24"/>
    <x:mergeCell ref="B25:H25"/>
    <x:mergeCell ref="B26:H26"/>
    <x:mergeCell ref="A28:H28"/>
    <x:mergeCell ref="B29:H29"/>
    <x:mergeCell ref="D30:H30"/>
    <x:mergeCell ref="B31:H31"/>
    <x:mergeCell ref="B32:H32"/>
    <x:mergeCell ref="F38:H38"/>
    <x:mergeCell ref="B39:H39"/>
    <x:mergeCell ref="B40:H40"/>
    <x:mergeCell ref="B41:H41"/>
    <x:mergeCell ref="A43:H43"/>
    <x:mergeCell ref="B44:H44"/>
    <x:mergeCell ref="D45:H45"/>
    <x:mergeCell ref="B46:H46"/>
    <x:mergeCell ref="B47:H47"/>
    <x:mergeCell ref="F53:H53"/>
    <x:mergeCell ref="B54:H54"/>
    <x:mergeCell ref="B55:H55"/>
    <x:mergeCell ref="B56:H56"/>
    <x:mergeCell ref="A58:H58"/>
    <x:mergeCell ref="B59:H59"/>
    <x:mergeCell ref="D60:H60"/>
    <x:mergeCell ref="B61:H61"/>
    <x:mergeCell ref="B62:H62"/>
    <x:mergeCell ref="F68:H68"/>
    <x:mergeCell ref="B69:H69"/>
    <x:mergeCell ref="B70:H70"/>
    <x:mergeCell ref="B71:H71"/>
    <x:mergeCell ref="A11:B11"/>
    <x:mergeCell ref="G11:H11"/>
    <x:mergeCell ref="A12:H12"/>
  </x:mergeCells>
  <x:conditionalFormatting sqref="D20:D20">
    <x:cfRule type="cellIs" dxfId="402" priority="1" operator="greaterThanOrEqual">
      <x:formula>90</x:formula>
    </x:cfRule>
    <x:cfRule type="cellIs" dxfId="403" priority="2" operator="between">
      <x:formula>70</x:formula>
    </x:cfRule>
    <x:cfRule type="cellIs" dxfId="404" priority="3" operator="lessThan">
      <x:formula>70</x:formula>
    </x:cfRule>
  </x:conditionalFormatting>
  <x:conditionalFormatting sqref="D21:D21">
    <x:cfRule type="cellIs" dxfId="405" priority="4" operator="greaterThanOrEqual">
      <x:formula>90</x:formula>
    </x:cfRule>
    <x:cfRule type="cellIs" dxfId="406" priority="5" operator="between">
      <x:formula>70</x:formula>
    </x:cfRule>
    <x:cfRule type="cellIs" dxfId="407" priority="6" operator="lessThan">
      <x:formula>70</x:formula>
    </x:cfRule>
  </x:conditionalFormatting>
  <x:conditionalFormatting sqref="D22:D22">
    <x:cfRule type="cellIs" dxfId="408" priority="7" operator="greaterThanOrEqual">
      <x:formula>90</x:formula>
    </x:cfRule>
    <x:cfRule type="cellIs" dxfId="409" priority="8" operator="between">
      <x:formula>70</x:formula>
    </x:cfRule>
    <x:cfRule type="cellIs" dxfId="410" priority="9" operator="lessThan">
      <x:formula>70</x:formula>
    </x:cfRule>
  </x:conditionalFormatting>
  <x:conditionalFormatting sqref="D35:D35">
    <x:cfRule type="cellIs" dxfId="411" priority="10" operator="greaterThanOrEqual">
      <x:formula>90</x:formula>
    </x:cfRule>
    <x:cfRule type="cellIs" dxfId="412" priority="11" operator="between">
      <x:formula>70</x:formula>
    </x:cfRule>
    <x:cfRule type="cellIs" dxfId="413" priority="12" operator="lessThan">
      <x:formula>70</x:formula>
    </x:cfRule>
  </x:conditionalFormatting>
  <x:conditionalFormatting sqref="D36:D36">
    <x:cfRule type="cellIs" dxfId="414" priority="13" operator="greaterThanOrEqual">
      <x:formula>90</x:formula>
    </x:cfRule>
    <x:cfRule type="cellIs" dxfId="415" priority="14" operator="between">
      <x:formula>70</x:formula>
    </x:cfRule>
    <x:cfRule type="cellIs" dxfId="416" priority="15" operator="lessThan">
      <x:formula>70</x:formula>
    </x:cfRule>
  </x:conditionalFormatting>
  <x:conditionalFormatting sqref="D37:D37">
    <x:cfRule type="cellIs" dxfId="417" priority="16" operator="greaterThanOrEqual">
      <x:formula>90</x:formula>
    </x:cfRule>
    <x:cfRule type="cellIs" dxfId="418" priority="17" operator="between">
      <x:formula>70</x:formula>
    </x:cfRule>
    <x:cfRule type="cellIs" dxfId="419" priority="18" operator="lessThan">
      <x:formula>70</x:formula>
    </x:cfRule>
  </x:conditionalFormatting>
  <x:conditionalFormatting sqref="D50:D50">
    <x:cfRule type="cellIs" dxfId="420" priority="19" operator="greaterThanOrEqual">
      <x:formula>90</x:formula>
    </x:cfRule>
    <x:cfRule type="cellIs" dxfId="421" priority="20" operator="between">
      <x:formula>70</x:formula>
    </x:cfRule>
    <x:cfRule type="cellIs" dxfId="422" priority="21" operator="lessThan">
      <x:formula>70</x:formula>
    </x:cfRule>
  </x:conditionalFormatting>
  <x:conditionalFormatting sqref="D51:D51">
    <x:cfRule type="cellIs" dxfId="423" priority="22" operator="greaterThanOrEqual">
      <x:formula>90</x:formula>
    </x:cfRule>
    <x:cfRule type="cellIs" dxfId="424" priority="23" operator="between">
      <x:formula>70</x:formula>
    </x:cfRule>
    <x:cfRule type="cellIs" dxfId="425" priority="24" operator="lessThan">
      <x:formula>70</x:formula>
    </x:cfRule>
  </x:conditionalFormatting>
  <x:conditionalFormatting sqref="D52:D52">
    <x:cfRule type="cellIs" dxfId="426" priority="25" operator="greaterThanOrEqual">
      <x:formula>90</x:formula>
    </x:cfRule>
    <x:cfRule type="cellIs" dxfId="427" priority="26" operator="between">
      <x:formula>70</x:formula>
    </x:cfRule>
    <x:cfRule type="cellIs" dxfId="428" priority="27" operator="lessThan">
      <x:formula>70</x:formula>
    </x:cfRule>
  </x:conditionalFormatting>
  <x:conditionalFormatting sqref="D65:D65">
    <x:cfRule type="cellIs" dxfId="429" priority="28" operator="greaterThanOrEqual">
      <x:formula>90</x:formula>
    </x:cfRule>
    <x:cfRule type="cellIs" dxfId="430" priority="29" operator="between">
      <x:formula>70</x:formula>
    </x:cfRule>
    <x:cfRule type="cellIs" dxfId="431" priority="30" operator="lessThan">
      <x:formula>70</x:formula>
    </x:cfRule>
  </x:conditionalFormatting>
  <x:conditionalFormatting sqref="D66:D66">
    <x:cfRule type="cellIs" dxfId="432" priority="31" operator="greaterThanOrEqual">
      <x:formula>90</x:formula>
    </x:cfRule>
    <x:cfRule type="cellIs" dxfId="433" priority="32" operator="between">
      <x:formula>70</x:formula>
    </x:cfRule>
    <x:cfRule type="cellIs" dxfId="434" priority="33" operator="lessThan">
      <x:formula>70</x:formula>
    </x:cfRule>
  </x:conditionalFormatting>
  <x:conditionalFormatting sqref="D67:D67">
    <x:cfRule type="cellIs" dxfId="435" priority="34" operator="greaterThanOrEqual">
      <x:formula>90</x:formula>
    </x:cfRule>
    <x:cfRule type="cellIs" dxfId="436" priority="35" operator="between">
      <x:formula>70</x:formula>
    </x:cfRule>
    <x:cfRule type="cellIs" dxfId="437" priority="36" operator="lessThan">
      <x:formula>70</x:formula>
    </x:cfRule>
  </x:conditionalFormatting>
  <x:dataValidations count="12"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22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37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  <x:dataValidation type="list" sqref="D52">
      <x:formula1>"0,5,10,15,20,25,30,35,40,45,50,55,60,65,70,75,80,85,90,95,100"</x:formula1>
    </x:dataValidation>
    <x:dataValidation type="list" sqref="D65">
      <x:formula1>"0,5,10,15,20,25,30,35,40,45,50,55,60,65,70,75,80,85,90,95,100"</x:formula1>
    </x:dataValidation>
    <x:dataValidation type="list" sqref="D66">
      <x:formula1>"0,5,10,15,20,25,30,35,40,45,50,55,60,65,70,75,80,85,90,95,100"</x:formula1>
    </x:dataValidation>
    <x:dataValidation type="list" sqref="D67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FAT GENERALIST (FINANCE, ACCOUNTING &amp; TAX) — 1 PERSON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Finance, Accounting &amp; Tax</x:v>
      </x:c>
      <x:c r="C2" s="26" t="str">
        <x:v>KPI Code</x:v>
      </x:c>
      <x:c r="D2" s="16" t="str">
        <x:v>KPI-FAT-GEN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Manajer / Owner</x:v>
      </x:c>
      <x:c r="C3" s="26" t="str">
        <x:v>Headcount Reference</x:v>
      </x:c>
      <x:c r="D3" s="16" t="str">
        <x:v>1</x:v>
      </x:c>
      <x:c r="E3" s="26" t="str">
        <x:v>Applicable KPI</x:v>
      </x:c>
      <x:c r="F3" s="16" t="n">
        <x:v>4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Kas Harian, Rekonsiliasi &amp; Piutang/Utang</x:v>
      </x:c>
      <x:c r="C7" s="68" t="n">
        <x:v>0.35</x:v>
      </x:c>
      <x:c r="D7" s="46" t="n">
        <x:f>B23</x:f>
        <x:v>0</x:v>
      </x:c>
      <x:c r="E7" s="46" t="n">
        <x:f>D23</x:f>
        <x:v>0</x:v>
      </x:c>
      <x:c r="F7" s="46" t="str">
        <x:f>F23</x:f>
        <x:v>Waiting for Input</x:v>
      </x:c>
      <x:c r="G7" s="16" t="str">
        <x:v>WI-FAT-001, WI-FAT-002, WI-FAT-003, WI-FAT-004
Bukti: cashbook, rekonsiliasi bank, aging AR/AP, bukti reminder.</x:v>
      </x:c>
      <x:c r="H7" s="16" t="str">
        <x:v>RC-KPI-FAT-GEN-01</x:v>
      </x:c>
    </x:row>
    <x:row r="8" ht="36" customHeight="1">
      <x:c r="A8" s="16" t="n">
        <x:v>2</x:v>
      </x:c>
      <x:c r="B8" s="16" t="str">
        <x:v>Validasi Pembayaran &amp; Payroll</x:v>
      </x:c>
      <x:c r="C8" s="68" t="n">
        <x:v>0.2</x:v>
      </x:c>
      <x:c r="D8" s="46" t="n">
        <x:f>B38</x:f>
        <x:v>0</x:v>
      </x:c>
      <x:c r="E8" s="46" t="n">
        <x:f>D38</x:f>
        <x:v>0</x:v>
      </x:c>
      <x:c r="F8" s="46" t="str">
        <x:f>F38</x:f>
        <x:v>Waiting for Input</x:v>
      </x:c>
      <x:c r="G8" s="16" t="str">
        <x:v>WI-FAT-005, WI-FAT-006
Bukti: payment list, approval, draft payroll, bukti transfer.</x:v>
      </x:c>
      <x:c r="H8" s="16" t="str">
        <x:v>RC-KPI-FAT-GEN-02</x:v>
      </x:c>
    </x:row>
    <x:row r="9" ht="36" customHeight="1">
      <x:c r="A9" s="16" t="n">
        <x:v>3</x:v>
      </x:c>
      <x:c r="B9" s="16" t="str">
        <x:v>Closing Bulanan, Pajak &amp; HPP</x:v>
      </x:c>
      <x:c r="C9" s="68" t="n">
        <x:v>0.3</x:v>
      </x:c>
      <x:c r="D9" s="46" t="n">
        <x:f>B53</x:f>
        <x:v>0</x:v>
      </x:c>
      <x:c r="E9" s="46" t="n">
        <x:f>D53</x:f>
        <x:v>0</x:v>
      </x:c>
      <x:c r="F9" s="46" t="str">
        <x:f>F53</x:f>
        <x:v>Waiting for Input</x:v>
      </x:c>
      <x:c r="G9" s="16" t="str">
        <x:v>WI-FAT-007, WI-FAT-010, WI-FAT-011
Bukti: cash report, closing pack, SPT/bukti bayar, HPP sheet.</x:v>
      </x:c>
      <x:c r="H9" s="16" t="str">
        <x:v>RC-KPI-FAT-GEN-03</x:v>
      </x:c>
    </x:row>
    <x:row r="10" ht="36" customHeight="1">
      <x:c r="A10" s="16" t="n">
        <x:v>4</x:v>
      </x:c>
      <x:c r="B10" s="16" t="str">
        <x:v>Budget Control, Audit &amp; Forecast</x:v>
      </x:c>
      <x:c r="C10" s="68" t="n">
        <x:v>0.15</x:v>
      </x:c>
      <x:c r="D10" s="46" t="n">
        <x:f>B68</x:f>
        <x:v>0</x:v>
      </x:c>
      <x:c r="E10" s="46" t="n">
        <x:f>D68</x:f>
        <x:v>0</x:v>
      </x:c>
      <x:c r="F10" s="46" t="str">
        <x:f>F68</x:f>
        <x:v>Waiting for Input</x:v>
      </x:c>
      <x:c r="G10" s="16" t="str">
        <x:v>WI-FAT-009, WI-FAT-012, WI-FAT-013, WI-FAT-014
Bukti: budget report, audit log, forecast kas, action follow-up.</x:v>
      </x:c>
      <x:c r="H10" s="16" t="str">
        <x:v>RC-KPI-FAT-GEN-04</x:v>
      </x:c>
    </x:row>
    <x:row r="11">
      <x:c r="A11" s="62" t="str">
        <x:v>Overall Role Score</x:v>
      </x:c>
      <x:c r="B11" s="52"/>
      <x:c r="C11" s="26" t="str">
        <x:v>Total Weight</x:v>
      </x:c>
      <x:c r="D11" s="68" t="n">
        <x:f>SUM(C7:C10)</x:f>
        <x:v>1</x:v>
      </x:c>
      <x:c r="E11" s="46" t="str">
        <x:f>IF(COUNT(D20:D22,D35:D37,D50:D52,D65:D67)=0,"",SUM(E7:E10))</x:f>
      </x:c>
      <x:c r="F11" s="26" t="str">
        <x:v>Overall Status</x:v>
      </x:c>
      <x:c r="G11" s="46" t="str">
        <x:f>IF(COUNT(D20:D22,D35:D37,D50:D52,D65:D67)=0,"Waiting for Input",IF(E11&gt;=90,"On Track",IF(E11&gt;=80,"Good",IF(E11&gt;=70,"Need Improvement","Priority"))))</x:f>
        <x:v>Waiting for Input</x:v>
      </x:c>
      <x:c r="H11" s="52"/>
    </x:row>
    <x:row r="12" ht="22" customHeight="1">
      <x:c r="A12" s="16" t="str">
        <x:v>Fill yellow cells only. Score output is calculated from the average Achievement % of KPI details in each card.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62" t="str">
        <x:v>RC-KPI-FAT-GEN-01 — Kas Harian, Rekonsiliasi &amp; Piutang/Utang</x:v>
      </x:c>
      <x:c r="B13" s="52"/>
      <x:c r="C13" s="52"/>
      <x:c r="D13" s="52"/>
      <x:c r="E13" s="52"/>
      <x:c r="F13" s="52"/>
      <x:c r="G13" s="52"/>
      <x:c r="H13" s="52"/>
    </x:row>
    <x:row r="14" ht="24" customHeight="1">
      <x:c r="A14" s="26" t="str">
        <x:v>KPI / Phase</x:v>
      </x:c>
      <x:c r="B14" s="16" t="str">
        <x:v>Kas Harian, Rekonsiliasi &amp; Piutang/Utang</x:v>
      </x:c>
      <x:c r="C14" s="52"/>
      <x:c r="D14" s="52"/>
      <x:c r="E14" s="52"/>
      <x:c r="F14" s="52"/>
      <x:c r="G14" s="52"/>
      <x:c r="H14" s="52"/>
    </x:row>
    <x:row r="15" ht="30" customHeight="1">
      <x:c r="A15" s="26" t="str">
        <x:v>Adjusted Weight</x:v>
      </x:c>
      <x:c r="B15" s="68" t="n">
        <x:v>0.35</x:v>
      </x:c>
      <x:c r="C15" s="26" t="str">
        <x:v>WI Reference</x:v>
      </x:c>
      <x:c r="D15" s="16" t="str">
        <x:v>WI-FAT-001, WI-FAT-002, WI-FAT-003, WI-FAT-004
Bukti: cashbook, rekonsiliasi bank, aging AR/AP, bukti reminder.</x:v>
      </x:c>
      <x:c r="E15" s="52"/>
      <x:c r="F15" s="52"/>
      <x:c r="G15" s="52"/>
      <x:c r="H15" s="52"/>
    </x:row>
    <x:row r="16" ht="36" customHeight="1">
      <x:c r="A16" s="26" t="str">
        <x:v>Objective</x:v>
      </x:c>
      <x:c r="B16" s="16" t="str">
        <x:v>Menjaga posisi kas, piutang B2B, dan kewajiban vendor tetap akurat agar tidak terjadi kejutan likuiditas.</x:v>
      </x:c>
      <x:c r="C16" s="52"/>
      <x:c r="D16" s="52"/>
      <x:c r="E16" s="52"/>
      <x:c r="F16" s="52"/>
      <x:c r="G16" s="52"/>
      <x:c r="H16" s="52"/>
    </x:row>
    <x:row r="17" ht="32" customHeight="1">
      <x:c r="A17" s="26" t="str">
        <x:v>Target Baseline</x:v>
      </x:c>
      <x:c r="B17" s="16" t="str">
        <x:v>100% pencatatan same day; 4 rekonsiliasi/bulan; 100% AR/AP berstatus.</x:v>
      </x:c>
      <x:c r="C17" s="52"/>
      <x:c r="D17" s="52"/>
      <x:c r="E17" s="52"/>
      <x:c r="F17" s="52"/>
      <x:c r="G17" s="52"/>
      <x:c r="H17" s="52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 ht="36" customHeight="1">
      <x:c r="A19" s="36" t="str">
        <x:v>No.</x:v>
      </x:c>
      <x:c r="B19" s="36" t="str">
        <x:v>KPI Detail / What to Check</x:v>
      </x:c>
      <x:c r="C19" s="36" t="str">
        <x:v>Actual Result</x:v>
      </x:c>
      <x:c r="D19" s="36" t="str">
        <x:v>Achievement %
(0–100)</x:v>
      </x:c>
      <x:c r="E19" s="36" t="str">
        <x:v>Evidence / Proof</x:v>
      </x:c>
      <x:c r="F19" s="36" t="str">
        <x:v>Status</x:v>
      </x:c>
      <x:c r="G19" s="36" t="str">
        <x:v>Issue / Root Cause</x:v>
      </x:c>
      <x:c r="H19" s="36" t="str">
        <x:v>Action / Follow-up</x:v>
      </x:c>
    </x:row>
    <x:row r="20" ht="52" customHeight="1">
      <x:c r="A20" s="16" t="n">
        <x:v>1</x:v>
      </x:c>
      <x:c r="B20" s="16" t="str">
        <x:v>100% transaksi masuk/keluar dicatat pada hari yang sama.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2</x:v>
      </x:c>
      <x:c r="B21" s="16" t="str">
        <x:v>Rekonsiliasi bank/kas dilakukan minimal mingguan dan selisih diberi status klarifikasi.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 ht="52" customHeight="1">
      <x:c r="A22" s="16" t="n">
        <x:v>3</x:v>
      </x:c>
      <x:c r="B22" s="16" t="str">
        <x:v>100% piutang/utang aktif memiliki status dan tanggal jatuh tempo; reminder piutang dikirim sesuai jadwal.</x:v>
      </x:c>
      <x:c r="C22" s="54" t="str"/>
      <x:c r="D22" s="54" t="str"/>
      <x:c r="E22" s="54" t="str"/>
      <x:c r="F22" s="46" t="str">
        <x:f>IF(D22="","",IF(D22&gt;=90,"On Track",IF(D22&gt;=80,"Good",IF(D22&gt;=70,"Need Improvement","Priority"))))</x:f>
      </x:c>
      <x:c r="G22" s="54" t="str"/>
      <x:c r="H22" s="54" t="str"/>
    </x:row>
    <x:row r="23">
      <x:c r="A23" s="26" t="str">
        <x:v>Card Score</x:v>
      </x:c>
      <x:c r="B23" s="46" t="str">
        <x:f>IF(COUNT(D20:D22)=0,"",AVERAGE(D20:D22))</x:f>
      </x:c>
      <x:c r="C23" s="26" t="str">
        <x:v>Weighted Score</x:v>
      </x:c>
      <x:c r="D23" s="46" t="str">
        <x:f>IF(B23="","",B23*$B$15)</x:f>
      </x:c>
      <x:c r="E23" s="26" t="str">
        <x:v>Card Status</x:v>
      </x:c>
      <x:c r="F23" s="46" t="str">
        <x:f>IF(COUNT(D20:D22)=0,"Waiting for Input",IF(B23&gt;=90,"On Track",IF(B23&gt;=80,"Good",IF(B23&gt;=70,"Need Improvement","Priority"))))</x:f>
        <x:v>Waiting for Input</x:v>
      </x:c>
      <x:c r="G23" s="52"/>
      <x:c r="H23" s="52"/>
    </x:row>
    <x:row r="24" ht="34" customHeight="1">
      <x:c r="A24" s="26" t="str">
        <x:v>Overall Root Cause / Key Finding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Action Plan, PIC &amp; Due Date</x:v>
      </x:c>
      <x:c r="B25" s="54" t="str"/>
      <x:c r="C25" s="52"/>
      <x:c r="D25" s="52"/>
      <x:c r="E25" s="52"/>
      <x:c r="F25" s="52"/>
      <x:c r="G25" s="52"/>
      <x:c r="H25" s="52"/>
    </x:row>
    <x:row r="26" ht="34" customHeight="1">
      <x:c r="A26" s="26" t="str">
        <x:v>Reviewer Note</x:v>
      </x:c>
      <x:c r="B26" s="54" t="str"/>
      <x:c r="C26" s="52"/>
      <x:c r="D26" s="52"/>
      <x:c r="E26" s="52"/>
      <x:c r="F26" s="52"/>
      <x:c r="G26" s="52"/>
      <x:c r="H26" s="52"/>
    </x:row>
    <x:row r="27">
      <x:c r="A27" s="52"/>
      <x:c r="B27" s="52"/>
      <x:c r="C27" s="52"/>
      <x:c r="D27" s="52"/>
      <x:c r="E27" s="52"/>
      <x:c r="F27" s="52"/>
      <x:c r="G27" s="52"/>
      <x:c r="H27" s="52"/>
    </x:row>
    <x:row r="28" ht="24" customHeight="1">
      <x:c r="A28" s="62" t="str">
        <x:v>RC-KPI-FAT-GEN-02 — Validasi Pembayaran &amp; Payroll</x:v>
      </x:c>
      <x:c r="B28" s="52"/>
      <x:c r="C28" s="52"/>
      <x:c r="D28" s="52"/>
      <x:c r="E28" s="52"/>
      <x:c r="F28" s="52"/>
      <x:c r="G28" s="52"/>
      <x:c r="H28" s="52"/>
    </x:row>
    <x:row r="29" ht="24" customHeight="1">
      <x:c r="A29" s="26" t="str">
        <x:v>KPI / Phase</x:v>
      </x:c>
      <x:c r="B29" s="16" t="str">
        <x:v>Validasi Pembayaran &amp; Payroll</x:v>
      </x:c>
      <x:c r="C29" s="52"/>
      <x:c r="D29" s="52"/>
      <x:c r="E29" s="52"/>
      <x:c r="F29" s="52"/>
      <x:c r="G29" s="52"/>
      <x:c r="H29" s="52"/>
    </x:row>
    <x:row r="30" ht="30" customHeight="1">
      <x:c r="A30" s="26" t="str">
        <x:v>Adjusted Weight</x:v>
      </x:c>
      <x:c r="B30" s="68" t="n">
        <x:v>0.2</x:v>
      </x:c>
      <x:c r="C30" s="26" t="str">
        <x:v>WI Reference</x:v>
      </x:c>
      <x:c r="D30" s="16" t="str">
        <x:v>WI-FAT-005, WI-FAT-006
Bukti: payment list, approval, draft payroll, bukti transfer.</x:v>
      </x:c>
      <x:c r="E30" s="52"/>
      <x:c r="F30" s="52"/>
      <x:c r="G30" s="52"/>
      <x:c r="H30" s="52"/>
    </x:row>
    <x:row r="31" ht="36" customHeight="1">
      <x:c r="A31" s="26" t="str">
        <x:v>Objective</x:v>
      </x:c>
      <x:c r="B31" s="16" t="str">
        <x:v>Memastikan pembayaran vendor, reimbursement, payroll, lembur, bonus, dan potongan menggunakan data serta approval yang valid.</x:v>
      </x:c>
      <x:c r="C31" s="52"/>
      <x:c r="D31" s="52"/>
      <x:c r="E31" s="52"/>
      <x:c r="F31" s="52"/>
      <x:c r="G31" s="52"/>
      <x:c r="H31" s="52"/>
    </x:row>
    <x:row r="32" ht="32" customHeight="1">
      <x:c r="A32" s="26" t="str">
        <x:v>Target Baseline</x:v>
      </x:c>
      <x:c r="B32" s="16" t="str">
        <x:v>100% transaksi ber-bukti &amp; approval; payroll sesuai jadwal; 0 kesalahan material terbuka.</x:v>
      </x:c>
      <x:c r="C32" s="52"/>
      <x:c r="D32" s="52"/>
      <x:c r="E32" s="52"/>
      <x:c r="F32" s="52"/>
      <x:c r="G32" s="52"/>
      <x:c r="H32" s="52"/>
    </x:row>
    <x:row r="33">
      <x:c r="A33" s="52"/>
      <x:c r="B33" s="52"/>
      <x:c r="C33" s="52"/>
      <x:c r="D33" s="52"/>
      <x:c r="E33" s="52"/>
      <x:c r="F33" s="52"/>
      <x:c r="G33" s="52"/>
      <x:c r="H33" s="52"/>
    </x:row>
    <x:row r="34" ht="36" customHeight="1">
      <x:c r="A34" s="36" t="str">
        <x:v>No.</x:v>
      </x:c>
      <x:c r="B34" s="36" t="str">
        <x:v>KPI Detail / What to Check</x:v>
      </x:c>
      <x:c r="C34" s="36" t="str">
        <x:v>Actual Result</x:v>
      </x:c>
      <x:c r="D34" s="36" t="str">
        <x:v>Achievement %
(0–100)</x:v>
      </x:c>
      <x:c r="E34" s="36" t="str">
        <x:v>Evidence / Proof</x:v>
      </x:c>
      <x:c r="F34" s="36" t="str">
        <x:v>Status</x:v>
      </x:c>
      <x:c r="G34" s="36" t="str">
        <x:v>Issue / Root Cause</x:v>
      </x:c>
      <x:c r="H34" s="36" t="str">
        <x:v>Action / Follow-up</x:v>
      </x:c>
    </x:row>
    <x:row r="35" ht="52" customHeight="1">
      <x:c r="A35" s="16" t="n">
        <x:v>1</x:v>
      </x:c>
      <x:c r="B35" s="16" t="str">
        <x:v>100% pengeluaran yang dibayar memiliki bukti dan approval.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2</x:v>
      </x:c>
      <x:c r="B36" s="16" t="str">
        <x:v>Payroll diproses sesuai jadwal perusahaan dengan 0 kesalahan material yang belum dikoreksi.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 ht="52" customHeight="1">
      <x:c r="A37" s="16" t="n">
        <x:v>3</x:v>
      </x:c>
      <x:c r="B37" s="16" t="str">
        <x:v>Bukti pembayaran tersimpan pada folder resmi.</x:v>
      </x:c>
      <x:c r="C37" s="54" t="str"/>
      <x:c r="D37" s="54" t="str"/>
      <x:c r="E37" s="54" t="str"/>
      <x:c r="F37" s="46" t="str">
        <x:f>IF(D37="","",IF(D37&gt;=90,"On Track",IF(D37&gt;=80,"Good",IF(D37&gt;=70,"Need Improvement","Priority"))))</x:f>
      </x:c>
      <x:c r="G37" s="54" t="str"/>
      <x:c r="H37" s="54" t="str"/>
    </x:row>
    <x:row r="38">
      <x:c r="A38" s="26" t="str">
        <x:v>Card Score</x:v>
      </x:c>
      <x:c r="B38" s="46" t="str">
        <x:f>IF(COUNT(D35:D37)=0,"",AVERAGE(D35:D37))</x:f>
      </x:c>
      <x:c r="C38" s="26" t="str">
        <x:v>Weighted Score</x:v>
      </x:c>
      <x:c r="D38" s="46" t="str">
        <x:f>IF(B38="","",B38*$B$30)</x:f>
      </x:c>
      <x:c r="E38" s="26" t="str">
        <x:v>Card Status</x:v>
      </x:c>
      <x:c r="F38" s="46" t="str">
        <x:f>IF(COUNT(D35:D37)=0,"Waiting for Input",IF(B38&gt;=90,"On Track",IF(B38&gt;=80,"Good",IF(B38&gt;=70,"Need Improvement","Priority"))))</x:f>
        <x:v>Waiting for Input</x:v>
      </x:c>
      <x:c r="G38" s="52"/>
      <x:c r="H38" s="52"/>
    </x:row>
    <x:row r="39" ht="34" customHeight="1">
      <x:c r="A39" s="26" t="str">
        <x:v>Overall Root Cause / Key Finding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Action Plan, PIC &amp; Due Date</x:v>
      </x:c>
      <x:c r="B40" s="54" t="str"/>
      <x:c r="C40" s="52"/>
      <x:c r="D40" s="52"/>
      <x:c r="E40" s="52"/>
      <x:c r="F40" s="52"/>
      <x:c r="G40" s="52"/>
      <x:c r="H40" s="52"/>
    </x:row>
    <x:row r="41" ht="34" customHeight="1">
      <x:c r="A41" s="26" t="str">
        <x:v>Reviewer Note</x:v>
      </x:c>
      <x:c r="B41" s="54" t="str"/>
      <x:c r="C41" s="52"/>
      <x:c r="D41" s="52"/>
      <x:c r="E41" s="52"/>
      <x:c r="F41" s="52"/>
      <x:c r="G41" s="52"/>
      <x:c r="H41" s="52"/>
    </x:row>
    <x:row r="42">
      <x:c r="A42" s="52"/>
      <x:c r="B42" s="52"/>
      <x:c r="C42" s="52"/>
      <x:c r="D42" s="52"/>
      <x:c r="E42" s="52"/>
      <x:c r="F42" s="52"/>
      <x:c r="G42" s="52"/>
      <x:c r="H42" s="52"/>
    </x:row>
    <x:row r="43" ht="24" customHeight="1">
      <x:c r="A43" s="62" t="str">
        <x:v>RC-KPI-FAT-GEN-03 — Closing Bulanan, Pajak &amp; HPP</x:v>
      </x:c>
      <x:c r="B43" s="52"/>
      <x:c r="C43" s="52"/>
      <x:c r="D43" s="52"/>
      <x:c r="E43" s="52"/>
      <x:c r="F43" s="52"/>
      <x:c r="G43" s="52"/>
      <x:c r="H43" s="52"/>
    </x:row>
    <x:row r="44" ht="24" customHeight="1">
      <x:c r="A44" s="26" t="str">
        <x:v>KPI / Phase</x:v>
      </x:c>
      <x:c r="B44" s="16" t="str">
        <x:v>Closing Bulanan, Pajak &amp; HPP</x:v>
      </x:c>
      <x:c r="C44" s="52"/>
      <x:c r="D44" s="52"/>
      <x:c r="E44" s="52"/>
      <x:c r="F44" s="52"/>
      <x:c r="G44" s="52"/>
      <x:c r="H44" s="52"/>
    </x:row>
    <x:row r="45" ht="30" customHeight="1">
      <x:c r="A45" s="26" t="str">
        <x:v>Adjusted Weight</x:v>
      </x:c>
      <x:c r="B45" s="68" t="n">
        <x:v>0.3</x:v>
      </x:c>
      <x:c r="C45" s="26" t="str">
        <x:v>WI Reference</x:v>
      </x:c>
      <x:c r="D45" s="16" t="str">
        <x:v>WI-FAT-007, WI-FAT-010, WI-FAT-011
Bukti: cash report, closing pack, SPT/bukti bayar, HPP sheet.</x:v>
      </x:c>
      <x:c r="E45" s="52"/>
      <x:c r="F45" s="52"/>
      <x:c r="G45" s="52"/>
      <x:c r="H45" s="52"/>
    </x:row>
    <x:row r="46" ht="36" customHeight="1">
      <x:c r="A46" s="26" t="str">
        <x:v>Objective</x:v>
      </x:c>
      <x:c r="B46" s="16" t="str">
        <x:v>Menyelesaikan laporan keuangan, kewajiban pajak, dan pembaruan HPP secara rutin dengan standar yang realistis untuk satu personel.</x:v>
      </x:c>
      <x:c r="C46" s="52"/>
      <x:c r="D46" s="52"/>
      <x:c r="E46" s="52"/>
      <x:c r="F46" s="52"/>
      <x:c r="G46" s="52"/>
      <x:c r="H46" s="52"/>
    </x:row>
    <x:row r="47" ht="32" customHeight="1">
      <x:c r="A47" s="26" t="str">
        <x:v>Target Baseline</x:v>
      </x:c>
      <x:c r="B47" s="16" t="str">
        <x:v>4 cash report/bulan; closing ≤hari kerja ke-5; 0 keterlambatan pajak; HPP update saat trigger.</x:v>
      </x:c>
      <x:c r="C47" s="52"/>
      <x:c r="D47" s="52"/>
      <x:c r="E47" s="52"/>
      <x:c r="F47" s="52"/>
      <x:c r="G47" s="52"/>
      <x:c r="H47" s="52"/>
    </x:row>
    <x:row r="48">
      <x:c r="A48" s="52"/>
      <x:c r="B48" s="52"/>
      <x:c r="C48" s="52"/>
      <x:c r="D48" s="52"/>
      <x:c r="E48" s="52"/>
      <x:c r="F48" s="52"/>
      <x:c r="G48" s="52"/>
      <x:c r="H48" s="52"/>
    </x:row>
    <x:row r="49" ht="36" customHeight="1">
      <x:c r="A49" s="36" t="str">
        <x:v>No.</x:v>
      </x:c>
      <x:c r="B49" s="36" t="str">
        <x:v>KPI Detail / What to Check</x:v>
      </x:c>
      <x:c r="C49" s="36" t="str">
        <x:v>Actual Result</x:v>
      </x:c>
      <x:c r="D49" s="36" t="str">
        <x:v>Achievement %
(0–100)</x:v>
      </x:c>
      <x:c r="E49" s="36" t="str">
        <x:v>Evidence / Proof</x:v>
      </x:c>
      <x:c r="F49" s="36" t="str">
        <x:v>Status</x:v>
      </x:c>
      <x:c r="G49" s="36" t="str">
        <x:v>Issue / Root Cause</x:v>
      </x:c>
      <x:c r="H49" s="36" t="str">
        <x:v>Action / Follow-up</x:v>
      </x:c>
    </x:row>
    <x:row r="50" ht="52" customHeight="1">
      <x:c r="A50" s="16" t="n">
        <x:v>1</x:v>
      </x:c>
      <x:c r="B50" s="16" t="str">
        <x:v>Rekap arus kas mingguan dikirim setiap Senin sebelum 10.00.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2</x:v>
      </x:c>
      <x:c r="B51" s="16" t="str">
        <x:v>Closing Laba Rugi, Neraca, dan Arus Kas selesai maksimal hari kerja ke-5 bulan berikutnya.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 ht="52" customHeight="1">
      <x:c r="A52" s="16" t="n">
        <x:v>3</x:v>
      </x:c>
      <x:c r="B52" s="16" t="str">
        <x:v>Pajak dibayar/dilapor sesuai deadline; HPP produk prioritas diperbarui saat ada perubahan bahan/harga signifikan.</x:v>
      </x:c>
      <x:c r="C52" s="54" t="str"/>
      <x:c r="D52" s="54" t="str"/>
      <x:c r="E52" s="54" t="str"/>
      <x:c r="F52" s="46" t="str">
        <x:f>IF(D52="","",IF(D52&gt;=90,"On Track",IF(D52&gt;=80,"Good",IF(D52&gt;=70,"Need Improvement","Priority"))))</x:f>
      </x:c>
      <x:c r="G52" s="54" t="str"/>
      <x:c r="H52" s="54" t="str"/>
    </x:row>
    <x:row r="53">
      <x:c r="A53" s="26" t="str">
        <x:v>Card Score</x:v>
      </x:c>
      <x:c r="B53" s="46" t="str">
        <x:f>IF(COUNT(D50:D52)=0,"",AVERAGE(D50:D52))</x:f>
      </x:c>
      <x:c r="C53" s="26" t="str">
        <x:v>Weighted Score</x:v>
      </x:c>
      <x:c r="D53" s="46" t="str">
        <x:f>IF(B53="","",B53*$B$45)</x:f>
      </x:c>
      <x:c r="E53" s="26" t="str">
        <x:v>Card Status</x:v>
      </x:c>
      <x:c r="F53" s="46" t="str">
        <x:f>IF(COUNT(D50:D52)=0,"Waiting for Input",IF(B53&gt;=90,"On Track",IF(B53&gt;=80,"Good",IF(B53&gt;=70,"Need Improvement","Priority"))))</x:f>
        <x:v>Waiting for Input</x:v>
      </x:c>
      <x:c r="G53" s="52"/>
      <x:c r="H53" s="52"/>
    </x:row>
    <x:row r="54" ht="34" customHeight="1">
      <x:c r="A54" s="26" t="str">
        <x:v>Overall Root Cause / Key Finding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Action Plan, PIC &amp; Due Date</x:v>
      </x:c>
      <x:c r="B55" s="54" t="str"/>
      <x:c r="C55" s="52"/>
      <x:c r="D55" s="52"/>
      <x:c r="E55" s="52"/>
      <x:c r="F55" s="52"/>
      <x:c r="G55" s="52"/>
      <x:c r="H55" s="52"/>
    </x:row>
    <x:row r="56" ht="34" customHeight="1">
      <x:c r="A56" s="26" t="str">
        <x:v>Reviewer Note</x:v>
      </x:c>
      <x:c r="B56" s="54" t="str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  <x:row r="58" ht="24" customHeight="1">
      <x:c r="A58" s="62" t="str">
        <x:v>RC-KPI-FAT-GEN-04 — Budget Control, Audit &amp; Forecast</x:v>
      </x:c>
      <x:c r="B58" s="52"/>
      <x:c r="C58" s="52"/>
      <x:c r="D58" s="52"/>
      <x:c r="E58" s="52"/>
      <x:c r="F58" s="52"/>
      <x:c r="G58" s="52"/>
      <x:c r="H58" s="52"/>
    </x:row>
    <x:row r="59" ht="24" customHeight="1">
      <x:c r="A59" s="26" t="str">
        <x:v>KPI / Phase</x:v>
      </x:c>
      <x:c r="B59" s="16" t="str">
        <x:v>Budget Control, Audit &amp; Forecast</x:v>
      </x:c>
      <x:c r="C59" s="52"/>
      <x:c r="D59" s="52"/>
      <x:c r="E59" s="52"/>
      <x:c r="F59" s="52"/>
      <x:c r="G59" s="52"/>
      <x:c r="H59" s="52"/>
    </x:row>
    <x:row r="60" ht="30" customHeight="1">
      <x:c r="A60" s="26" t="str">
        <x:v>Adjusted Weight</x:v>
      </x:c>
      <x:c r="B60" s="68" t="n">
        <x:v>0.15</x:v>
      </x:c>
      <x:c r="C60" s="26" t="str">
        <x:v>WI Reference</x:v>
      </x:c>
      <x:c r="D60" s="16" t="str">
        <x:v>WI-FAT-009, WI-FAT-012, WI-FAT-013, WI-FAT-014
Bukti: budget report, audit log, forecast kas, action follow-up.</x:v>
      </x:c>
      <x:c r="E60" s="52"/>
      <x:c r="F60" s="52"/>
      <x:c r="G60" s="52"/>
      <x:c r="H60" s="52"/>
    </x:row>
    <x:row r="61" ht="36" customHeight="1">
      <x:c r="A61" s="26" t="str">
        <x:v>Objective</x:v>
      </x:c>
      <x:c r="B61" s="16" t="str">
        <x:v>Memberi manajemen pandangan atas penyimpangan biaya dan kebutuhan kas ke depan.</x:v>
      </x:c>
      <x:c r="C61" s="52"/>
      <x:c r="D61" s="52"/>
      <x:c r="E61" s="52"/>
      <x:c r="F61" s="52"/>
      <x:c r="G61" s="52"/>
      <x:c r="H61" s="52"/>
    </x:row>
    <x:row r="62" ht="32" customHeight="1">
      <x:c r="A62" s="26" t="str">
        <x:v>Target Baseline</x:v>
      </x:c>
      <x:c r="B62" s="16" t="str">
        <x:v>1 budget report/bulan; 100% temuan punya follow-up; forecast min. triwulanan.</x:v>
      </x:c>
      <x:c r="C62" s="52"/>
      <x:c r="D62" s="52"/>
      <x:c r="E62" s="52"/>
      <x:c r="F62" s="52"/>
      <x:c r="G62" s="52"/>
      <x:c r="H62" s="52"/>
    </x:row>
    <x:row r="63">
      <x:c r="A63" s="52"/>
      <x:c r="B63" s="52"/>
      <x:c r="C63" s="52"/>
      <x:c r="D63" s="52"/>
      <x:c r="E63" s="52"/>
      <x:c r="F63" s="52"/>
      <x:c r="G63" s="52"/>
      <x:c r="H63" s="52"/>
    </x:row>
    <x:row r="64" ht="36" customHeight="1">
      <x:c r="A64" s="36" t="str">
        <x:v>No.</x:v>
      </x:c>
      <x:c r="B64" s="36" t="str">
        <x:v>KPI Detail / What to Check</x:v>
      </x:c>
      <x:c r="C64" s="36" t="str">
        <x:v>Actual Result</x:v>
      </x:c>
      <x:c r="D64" s="36" t="str">
        <x:v>Achievement %
(0–100)</x:v>
      </x:c>
      <x:c r="E64" s="36" t="str">
        <x:v>Evidence / Proof</x:v>
      </x:c>
      <x:c r="F64" s="36" t="str">
        <x:v>Status</x:v>
      </x:c>
      <x:c r="G64" s="36" t="str">
        <x:v>Issue / Root Cause</x:v>
      </x:c>
      <x:c r="H64" s="36" t="str">
        <x:v>Action / Follow-up</x:v>
      </x:c>
    </x:row>
    <x:row r="65" ht="52" customHeight="1">
      <x:c r="A65" s="16" t="n">
        <x:v>1</x:v>
      </x:c>
      <x:c r="B65" s="16" t="str">
        <x:v>Budget vs actual dibuat minimal 1x/bulan.</x:v>
      </x:c>
      <x:c r="C65" s="54" t="str"/>
      <x:c r="D65" s="54" t="str"/>
      <x:c r="E65" s="54" t="str"/>
      <x:c r="F65" s="46" t="str">
        <x:f>IF(D65="","",IF(D65&gt;=90,"On Track",IF(D65&gt;=80,"Good",IF(D65&gt;=70,"Need Improvement","Priority"))))</x:f>
      </x:c>
      <x:c r="G65" s="54" t="str"/>
      <x:c r="H65" s="54" t="str"/>
    </x:row>
    <x:row r="66" ht="52" customHeight="1">
      <x:c r="A66" s="16" t="n">
        <x:v>2</x:v>
      </x:c>
      <x:c r="B66" s="16" t="str">
        <x:v>Temuan transaksi/biaya tidak wajar dicatat dan dieskalasi sesuai risiko.</x:v>
      </x:c>
      <x:c r="C66" s="54" t="str"/>
      <x:c r="D66" s="54" t="str"/>
      <x:c r="E66" s="54" t="str"/>
      <x:c r="F66" s="46" t="str">
        <x:f>IF(D66="","",IF(D66&gt;=90,"On Track",IF(D66&gt;=80,"Good",IF(D66&gt;=70,"Need Improvement","Priority"))))</x:f>
      </x:c>
      <x:c r="G66" s="54" t="str"/>
      <x:c r="H66" s="54" t="str"/>
    </x:row>
    <x:row r="67" ht="52" customHeight="1">
      <x:c r="A67" s="16" t="n">
        <x:v>3</x:v>
      </x:c>
      <x:c r="B67" s="16" t="str">
        <x:v>Forecast kas/budget diperbarui minimal triwulanan atau saat ada order/proyek besar.</x:v>
      </x:c>
      <x:c r="C67" s="54" t="str"/>
      <x:c r="D67" s="54" t="str"/>
      <x:c r="E67" s="54" t="str"/>
      <x:c r="F67" s="46" t="str">
        <x:f>IF(D67="","",IF(D67&gt;=90,"On Track",IF(D67&gt;=80,"Good",IF(D67&gt;=70,"Need Improvement","Priority"))))</x:f>
      </x:c>
      <x:c r="G67" s="54" t="str"/>
      <x:c r="H67" s="54" t="str"/>
    </x:row>
    <x:row r="68">
      <x:c r="A68" s="26" t="str">
        <x:v>Card Score</x:v>
      </x:c>
      <x:c r="B68" s="46" t="str">
        <x:f>IF(COUNT(D65:D67)=0,"",AVERAGE(D65:D67))</x:f>
      </x:c>
      <x:c r="C68" s="26" t="str">
        <x:v>Weighted Score</x:v>
      </x:c>
      <x:c r="D68" s="46" t="str">
        <x:f>IF(B68="","",B68*$B$60)</x:f>
      </x:c>
      <x:c r="E68" s="26" t="str">
        <x:v>Card Status</x:v>
      </x:c>
      <x:c r="F68" s="46" t="str">
        <x:f>IF(COUNT(D65:D67)=0,"Waiting for Input",IF(B68&gt;=90,"On Track",IF(B68&gt;=80,"Good",IF(B68&gt;=70,"Need Improvement","Priority"))))</x:f>
        <x:v>Waiting for Input</x:v>
      </x:c>
      <x:c r="G68" s="52"/>
      <x:c r="H68" s="52"/>
    </x:row>
    <x:row r="69" ht="34" customHeight="1">
      <x:c r="A69" s="26" t="str">
        <x:v>Overall Root Cause / Key Finding</x:v>
      </x:c>
      <x:c r="B69" s="54" t="str"/>
      <x:c r="C69" s="52"/>
      <x:c r="D69" s="52"/>
      <x:c r="E69" s="52"/>
      <x:c r="F69" s="52"/>
      <x:c r="G69" s="52"/>
      <x:c r="H69" s="52"/>
    </x:row>
    <x:row r="70" ht="34" customHeight="1">
      <x:c r="A70" s="26" t="str">
        <x:v>Action Plan, PIC &amp; Due Date</x:v>
      </x:c>
      <x:c r="B70" s="54" t="str"/>
      <x:c r="C70" s="52"/>
      <x:c r="D70" s="52"/>
      <x:c r="E70" s="52"/>
      <x:c r="F70" s="52"/>
      <x:c r="G70" s="52"/>
      <x:c r="H70" s="52"/>
    </x:row>
    <x:row r="71" ht="34" customHeight="1">
      <x:c r="A71" s="26" t="str">
        <x:v>Reviewer Note</x:v>
      </x:c>
      <x:c r="B71" s="54" t="str"/>
      <x:c r="C71" s="52"/>
      <x:c r="D71" s="52"/>
      <x:c r="E71" s="52"/>
      <x:c r="F71" s="52"/>
      <x:c r="G71" s="52"/>
      <x:c r="H71" s="52"/>
    </x:row>
    <x:row r="72">
      <x:c r="A72" s="52"/>
      <x:c r="B72" s="52"/>
      <x:c r="C72" s="52"/>
      <x:c r="D72" s="52"/>
      <x:c r="E72" s="52"/>
      <x:c r="F72" s="52"/>
      <x:c r="G72" s="52"/>
      <x:c r="H72" s="52"/>
    </x:row>
    <x:row r="73">
      <x:c r="A73" s="52"/>
      <x:c r="B73" s="52"/>
      <x:c r="C73" s="52"/>
      <x:c r="D73" s="52"/>
      <x:c r="E73" s="52"/>
      <x:c r="F73" s="52"/>
      <x:c r="G73" s="52"/>
      <x:c r="H73" s="52"/>
    </x:row>
  </x:sheetData>
  <x:mergeCells>
    <x:mergeCell ref="A1:H1"/>
    <x:mergeCell ref="A5:H5"/>
    <x:mergeCell ref="A13:H13"/>
    <x:mergeCell ref="B14:H14"/>
    <x:mergeCell ref="D15:H15"/>
    <x:mergeCell ref="B16:H16"/>
    <x:mergeCell ref="B17:H17"/>
    <x:mergeCell ref="F23:H23"/>
    <x:mergeCell ref="B24:H24"/>
    <x:mergeCell ref="B25:H25"/>
    <x:mergeCell ref="B26:H26"/>
    <x:mergeCell ref="A28:H28"/>
    <x:mergeCell ref="B29:H29"/>
    <x:mergeCell ref="D30:H30"/>
    <x:mergeCell ref="B31:H31"/>
    <x:mergeCell ref="B32:H32"/>
    <x:mergeCell ref="F38:H38"/>
    <x:mergeCell ref="B39:H39"/>
    <x:mergeCell ref="B40:H40"/>
    <x:mergeCell ref="B41:H41"/>
    <x:mergeCell ref="A43:H43"/>
    <x:mergeCell ref="B44:H44"/>
    <x:mergeCell ref="D45:H45"/>
    <x:mergeCell ref="B46:H46"/>
    <x:mergeCell ref="B47:H47"/>
    <x:mergeCell ref="F53:H53"/>
    <x:mergeCell ref="B54:H54"/>
    <x:mergeCell ref="B55:H55"/>
    <x:mergeCell ref="B56:H56"/>
    <x:mergeCell ref="A58:H58"/>
    <x:mergeCell ref="B59:H59"/>
    <x:mergeCell ref="D60:H60"/>
    <x:mergeCell ref="B61:H61"/>
    <x:mergeCell ref="B62:H62"/>
    <x:mergeCell ref="F68:H68"/>
    <x:mergeCell ref="B69:H69"/>
    <x:mergeCell ref="B70:H70"/>
    <x:mergeCell ref="B71:H71"/>
    <x:mergeCell ref="A11:B11"/>
    <x:mergeCell ref="G11:H11"/>
    <x:mergeCell ref="A12:H12"/>
  </x:mergeCells>
  <x:conditionalFormatting sqref="D20:D20">
    <x:cfRule type="cellIs" dxfId="438" priority="1" operator="greaterThanOrEqual">
      <x:formula>90</x:formula>
    </x:cfRule>
    <x:cfRule type="cellIs" dxfId="439" priority="2" operator="between">
      <x:formula>70</x:formula>
    </x:cfRule>
    <x:cfRule type="cellIs" dxfId="440" priority="3" operator="lessThan">
      <x:formula>70</x:formula>
    </x:cfRule>
  </x:conditionalFormatting>
  <x:conditionalFormatting sqref="D21:D21">
    <x:cfRule type="cellIs" dxfId="441" priority="4" operator="greaterThanOrEqual">
      <x:formula>90</x:formula>
    </x:cfRule>
    <x:cfRule type="cellIs" dxfId="442" priority="5" operator="between">
      <x:formula>70</x:formula>
    </x:cfRule>
    <x:cfRule type="cellIs" dxfId="443" priority="6" operator="lessThan">
      <x:formula>70</x:formula>
    </x:cfRule>
  </x:conditionalFormatting>
  <x:conditionalFormatting sqref="D22:D22">
    <x:cfRule type="cellIs" dxfId="444" priority="7" operator="greaterThanOrEqual">
      <x:formula>90</x:formula>
    </x:cfRule>
    <x:cfRule type="cellIs" dxfId="445" priority="8" operator="between">
      <x:formula>70</x:formula>
    </x:cfRule>
    <x:cfRule type="cellIs" dxfId="446" priority="9" operator="lessThan">
      <x:formula>70</x:formula>
    </x:cfRule>
  </x:conditionalFormatting>
  <x:conditionalFormatting sqref="D35:D35">
    <x:cfRule type="cellIs" dxfId="447" priority="10" operator="greaterThanOrEqual">
      <x:formula>90</x:formula>
    </x:cfRule>
    <x:cfRule type="cellIs" dxfId="448" priority="11" operator="between">
      <x:formula>70</x:formula>
    </x:cfRule>
    <x:cfRule type="cellIs" dxfId="449" priority="12" operator="lessThan">
      <x:formula>70</x:formula>
    </x:cfRule>
  </x:conditionalFormatting>
  <x:conditionalFormatting sqref="D36:D36">
    <x:cfRule type="cellIs" dxfId="450" priority="13" operator="greaterThanOrEqual">
      <x:formula>90</x:formula>
    </x:cfRule>
    <x:cfRule type="cellIs" dxfId="451" priority="14" operator="between">
      <x:formula>70</x:formula>
    </x:cfRule>
    <x:cfRule type="cellIs" dxfId="452" priority="15" operator="lessThan">
      <x:formula>70</x:formula>
    </x:cfRule>
  </x:conditionalFormatting>
  <x:conditionalFormatting sqref="D37:D37">
    <x:cfRule type="cellIs" dxfId="453" priority="16" operator="greaterThanOrEqual">
      <x:formula>90</x:formula>
    </x:cfRule>
    <x:cfRule type="cellIs" dxfId="454" priority="17" operator="between">
      <x:formula>70</x:formula>
    </x:cfRule>
    <x:cfRule type="cellIs" dxfId="455" priority="18" operator="lessThan">
      <x:formula>70</x:formula>
    </x:cfRule>
  </x:conditionalFormatting>
  <x:conditionalFormatting sqref="D50:D50">
    <x:cfRule type="cellIs" dxfId="456" priority="19" operator="greaterThanOrEqual">
      <x:formula>90</x:formula>
    </x:cfRule>
    <x:cfRule type="cellIs" dxfId="457" priority="20" operator="between">
      <x:formula>70</x:formula>
    </x:cfRule>
    <x:cfRule type="cellIs" dxfId="458" priority="21" operator="lessThan">
      <x:formula>70</x:formula>
    </x:cfRule>
  </x:conditionalFormatting>
  <x:conditionalFormatting sqref="D51:D51">
    <x:cfRule type="cellIs" dxfId="459" priority="22" operator="greaterThanOrEqual">
      <x:formula>90</x:formula>
    </x:cfRule>
    <x:cfRule type="cellIs" dxfId="460" priority="23" operator="between">
      <x:formula>70</x:formula>
    </x:cfRule>
    <x:cfRule type="cellIs" dxfId="461" priority="24" operator="lessThan">
      <x:formula>70</x:formula>
    </x:cfRule>
  </x:conditionalFormatting>
  <x:conditionalFormatting sqref="D52:D52">
    <x:cfRule type="cellIs" dxfId="462" priority="25" operator="greaterThanOrEqual">
      <x:formula>90</x:formula>
    </x:cfRule>
    <x:cfRule type="cellIs" dxfId="463" priority="26" operator="between">
      <x:formula>70</x:formula>
    </x:cfRule>
    <x:cfRule type="cellIs" dxfId="464" priority="27" operator="lessThan">
      <x:formula>70</x:formula>
    </x:cfRule>
  </x:conditionalFormatting>
  <x:conditionalFormatting sqref="D65:D65">
    <x:cfRule type="cellIs" dxfId="465" priority="28" operator="greaterThanOrEqual">
      <x:formula>90</x:formula>
    </x:cfRule>
    <x:cfRule type="cellIs" dxfId="466" priority="29" operator="between">
      <x:formula>70</x:formula>
    </x:cfRule>
    <x:cfRule type="cellIs" dxfId="467" priority="30" operator="lessThan">
      <x:formula>70</x:formula>
    </x:cfRule>
  </x:conditionalFormatting>
  <x:conditionalFormatting sqref="D66:D66">
    <x:cfRule type="cellIs" dxfId="468" priority="31" operator="greaterThanOrEqual">
      <x:formula>90</x:formula>
    </x:cfRule>
    <x:cfRule type="cellIs" dxfId="469" priority="32" operator="between">
      <x:formula>70</x:formula>
    </x:cfRule>
    <x:cfRule type="cellIs" dxfId="470" priority="33" operator="lessThan">
      <x:formula>70</x:formula>
    </x:cfRule>
  </x:conditionalFormatting>
  <x:conditionalFormatting sqref="D67:D67">
    <x:cfRule type="cellIs" dxfId="471" priority="34" operator="greaterThanOrEqual">
      <x:formula>90</x:formula>
    </x:cfRule>
    <x:cfRule type="cellIs" dxfId="472" priority="35" operator="between">
      <x:formula>70</x:formula>
    </x:cfRule>
    <x:cfRule type="cellIs" dxfId="473" priority="36" operator="lessThan">
      <x:formula>70</x:formula>
    </x:cfRule>
  </x:conditionalFormatting>
  <x:dataValidations count="12"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22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37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  <x:dataValidation type="list" sqref="D52">
      <x:formula1>"0,5,10,15,20,25,30,35,40,45,50,55,60,65,70,75,80,85,90,95,100"</x:formula1>
    </x:dataValidation>
    <x:dataValidation type="list" sqref="D65">
      <x:formula1>"0,5,10,15,20,25,30,35,40,45,50,55,60,65,70,75,80,85,90,95,100"</x:formula1>
    </x:dataValidation>
    <x:dataValidation type="list" sqref="D66">
      <x:formula1>"0,5,10,15,20,25,30,35,40,45,50,55,60,65,70,75,80,85,90,95,100"</x:formula1>
    </x:dataValidation>
    <x:dataValidation type="list" sqref="D67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30" hidden="0" customWidth="1"/>
    <x:col min="4" max="4" width="16" hidden="0" customWidth="1"/>
    <x:col min="5" max="5" width="32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26" customHeight="1">
      <x:c r="A1" s="6" t="str">
        <x:v>KPI REPORT CARDS — HRD GA GENERALIST — 1 PERSON</x:v>
      </x:c>
      <x:c r="B1" s="52"/>
      <x:c r="C1" s="52"/>
      <x:c r="D1" s="52"/>
      <x:c r="E1" s="52"/>
      <x:c r="F1" s="52"/>
      <x:c r="G1" s="52"/>
      <x:c r="H1" s="52"/>
    </x:row>
    <x:row r="2">
      <x:c r="A2" s="26" t="str">
        <x:v>Department</x:v>
      </x:c>
      <x:c r="B2" s="16" t="str">
        <x:v>HRD GA</x:v>
      </x:c>
      <x:c r="C2" s="26" t="str">
        <x:v>KPI Code</x:v>
      </x:c>
      <x:c r="D2" s="16" t="str">
        <x:v>KPI-HRD-GEN</x:v>
      </x:c>
      <x:c r="E2" s="26" t="str">
        <x:v>Employee</x:v>
      </x:c>
      <x:c r="F2" s="54" t="str">
        <x:v>[Fill Name]</x:v>
      </x:c>
      <x:c r="G2" s="55" t="str">
        <x:v>Period</x:v>
      </x:c>
      <x:c r="H2" s="54" t="str">
        <x:v>[Month / Year]</x:v>
      </x:c>
    </x:row>
    <x:row r="3">
      <x:c r="A3" s="26" t="str">
        <x:v>Reviewer</x:v>
      </x:c>
      <x:c r="B3" s="16" t="str">
        <x:v>Manajer / Owner</x:v>
      </x:c>
      <x:c r="C3" s="26" t="str">
        <x:v>Headcount Reference</x:v>
      </x:c>
      <x:c r="D3" s="16" t="str">
        <x:v>1</x:v>
      </x:c>
      <x:c r="E3" s="26" t="str">
        <x:v>Applicable KPI</x:v>
      </x:c>
      <x:c r="F3" s="16" t="n">
        <x:v>4</x:v>
      </x:c>
      <x:c r="G3" s="26" t="str">
        <x:v>Scoring Rule</x:v>
      </x:c>
      <x:c r="H3" s="16" t="str">
        <x:v>0–100 per KPI detail</x:v>
      </x:c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62" t="str">
        <x:v>ROLE SCORE SUMMARY — active KPI weights are normalized to 100% after inactive / grey KPI are removed.</x:v>
      </x:c>
      <x:c r="B5" s="52"/>
      <x:c r="C5" s="52"/>
      <x:c r="D5" s="52"/>
      <x:c r="E5" s="52"/>
      <x:c r="F5" s="52"/>
      <x:c r="G5" s="52"/>
      <x:c r="H5" s="52"/>
    </x:row>
    <x:row r="6" ht="28" customHeight="1">
      <x:c r="A6" s="36" t="str">
        <x:v>No.</x:v>
      </x:c>
      <x:c r="B6" s="36" t="str">
        <x:v>KPI / Phase</x:v>
      </x:c>
      <x:c r="C6" s="36" t="str">
        <x:v>Adjusted Weight</x:v>
      </x:c>
      <x:c r="D6" s="36" t="str">
        <x:v>Card Score</x:v>
      </x:c>
      <x:c r="E6" s="36" t="str">
        <x:v>Weighted Score</x:v>
      </x:c>
      <x:c r="F6" s="36" t="str">
        <x:v>Status</x:v>
      </x:c>
      <x:c r="G6" s="36" t="str">
        <x:v>WI Reference</x:v>
      </x:c>
      <x:c r="H6" s="36" t="str">
        <x:v>Card ID</x:v>
      </x:c>
    </x:row>
    <x:row r="7" ht="36" customHeight="1">
      <x:c r="A7" s="16" t="n">
        <x:v>1</x:v>
      </x:c>
      <x:c r="B7" s="16" t="str">
        <x:v>Database SDM, Absensi &amp; Payroll Input</x:v>
      </x:c>
      <x:c r="C7" s="68" t="n">
        <x:v>0.3</x:v>
      </x:c>
      <x:c r="D7" s="46" t="n">
        <x:f>B23</x:f>
        <x:v>0</x:v>
      </x:c>
      <x:c r="E7" s="46" t="n">
        <x:f>D23</x:f>
        <x:v>0</x:v>
      </x:c>
      <x:c r="F7" s="46" t="str">
        <x:f>F23</x:f>
        <x:v>Waiting for Input</x:v>
      </x:c>
      <x:c r="G7" s="16" t="str">
        <x:v>WI-HRD-012, WI-HRD-013, WI-HRD-014
Bukti: database SDM, rekap absensi, payroll input checklist.</x:v>
      </x:c>
      <x:c r="H7" s="16" t="str">
        <x:v>RC-KPI-HRD-GEN-01</x:v>
      </x:c>
    </x:row>
    <x:row r="8" ht="36" customHeight="1">
      <x:c r="A8" s="16" t="n">
        <x:v>2</x:v>
      </x:c>
      <x:c r="B8" s="16" t="str">
        <x:v>Recruitment, Offering &amp; Onboarding</x:v>
      </x:c>
      <x:c r="C8" s="68" t="n">
        <x:v>0.25</x:v>
      </x:c>
      <x:c r="D8" s="46" t="n">
        <x:f>B38</x:f>
        <x:v>0</x:v>
      </x:c>
      <x:c r="E8" s="46" t="n">
        <x:f>D38</x:f>
        <x:v>0</x:v>
      </x:c>
      <x:c r="F8" s="46" t="str">
        <x:f>F38</x:f>
        <x:v>Waiting for Input</x:v>
      </x:c>
      <x:c r="G8" s="16" t="str">
        <x:v>WI-HRD-001, WI-HRD-003, WI-HRD-004, WI-HRD-005, WI-HRD-006
Bukti: form kebutuhan, shortlist, interview notes, offering, onboarding checklist.</x:v>
      </x:c>
      <x:c r="H8" s="16" t="str">
        <x:v>RC-KPI-HRD-GEN-02</x:v>
      </x:c>
    </x:row>
    <x:row r="9" ht="36" customHeight="1">
      <x:c r="A9" s="16" t="n">
        <x:v>3</x:v>
      </x:c>
      <x:c r="B9" s="16" t="str">
        <x:v>KPI, TNA, Training &amp; Budaya</x:v>
      </x:c>
      <x:c r="C9" s="68" t="n">
        <x:v>0.25</x:v>
      </x:c>
      <x:c r="D9" s="46" t="n">
        <x:f>B53</x:f>
        <x:v>0</x:v>
      </x:c>
      <x:c r="E9" s="46" t="n">
        <x:f>D53</x:f>
        <x:v>0</x:v>
      </x:c>
      <x:c r="F9" s="46" t="str">
        <x:f>F53</x:f>
        <x:v>Waiting for Input</x:v>
      </x:c>
      <x:c r="G9" s="16" t="str">
        <x:v>WI-HRD-002, WI-HRD-007, WI-HRD-008, WI-HRD-009, WI-HRD-010, WI-HRD-017
Bukti: KPI tracker, TNA, daftar hadir, feedback/PIP/action plan.</x:v>
      </x:c>
      <x:c r="H9" s="16" t="str">
        <x:v>RC-KPI-HRD-GEN-03</x:v>
      </x:c>
    </x:row>
    <x:row r="10" ht="36" customHeight="1">
      <x:c r="A10" s="16" t="n">
        <x:v>4</x:v>
      </x:c>
      <x:c r="B10" s="16" t="str">
        <x:v>Dokumen Legal &amp; Compliance</x:v>
      </x:c>
      <x:c r="C10" s="68" t="n">
        <x:v>0.2</x:v>
      </x:c>
      <x:c r="D10" s="46" t="n">
        <x:f>B68</x:f>
        <x:v>0</x:v>
      </x:c>
      <x:c r="E10" s="46" t="n">
        <x:f>D68</x:f>
        <x:v>0</x:v>
      </x:c>
      <x:c r="F10" s="46" t="str">
        <x:f>F68</x:f>
        <x:v>Waiting for Input</x:v>
      </x:c>
      <x:c r="G10" s="16" t="str">
        <x:v>WI-HRD-015, WI-HRD-016
Bukti: kontrak/SK, tracker expiry, checklist compliance, mitigation log.</x:v>
      </x:c>
      <x:c r="H10" s="16" t="str">
        <x:v>RC-KPI-HRD-GEN-04</x:v>
      </x:c>
    </x:row>
    <x:row r="11">
      <x:c r="A11" s="62" t="str">
        <x:v>Overall Role Score</x:v>
      </x:c>
      <x:c r="B11" s="52"/>
      <x:c r="C11" s="26" t="str">
        <x:v>Total Weight</x:v>
      </x:c>
      <x:c r="D11" s="68" t="n">
        <x:f>SUM(C7:C10)</x:f>
        <x:v>1</x:v>
      </x:c>
      <x:c r="E11" s="46" t="str">
        <x:f>IF(COUNT(D20:D22,D35:D37,D50:D52,D65:D67)=0,"",SUM(E7:E10))</x:f>
      </x:c>
      <x:c r="F11" s="26" t="str">
        <x:v>Overall Status</x:v>
      </x:c>
      <x:c r="G11" s="46" t="str">
        <x:f>IF(COUNT(D20:D22,D35:D37,D50:D52,D65:D67)=0,"Waiting for Input",IF(E11&gt;=90,"On Track",IF(E11&gt;=80,"Good",IF(E11&gt;=70,"Need Improvement","Priority"))))</x:f>
        <x:v>Waiting for Input</x:v>
      </x:c>
      <x:c r="H11" s="52"/>
    </x:row>
    <x:row r="12" ht="22" customHeight="1">
      <x:c r="A12" s="16" t="str">
        <x:v>Fill yellow cells only. Score output is calculated from the average Achievement % of KPI details in each card.</x:v>
      </x:c>
      <x:c r="B12" s="52"/>
      <x:c r="C12" s="52"/>
      <x:c r="D12" s="52"/>
      <x:c r="E12" s="52"/>
      <x:c r="F12" s="52"/>
      <x:c r="G12" s="52"/>
      <x:c r="H12" s="52"/>
    </x:row>
    <x:row r="13" ht="24" customHeight="1">
      <x:c r="A13" s="62" t="str">
        <x:v>RC-KPI-HRD-GEN-01 — Database SDM, Absensi &amp; Payroll Input</x:v>
      </x:c>
      <x:c r="B13" s="52"/>
      <x:c r="C13" s="52"/>
      <x:c r="D13" s="52"/>
      <x:c r="E13" s="52"/>
      <x:c r="F13" s="52"/>
      <x:c r="G13" s="52"/>
      <x:c r="H13" s="52"/>
    </x:row>
    <x:row r="14" ht="24" customHeight="1">
      <x:c r="A14" s="26" t="str">
        <x:v>KPI / Phase</x:v>
      </x:c>
      <x:c r="B14" s="16" t="str">
        <x:v>Database SDM, Absensi &amp; Payroll Input</x:v>
      </x:c>
      <x:c r="C14" s="52"/>
      <x:c r="D14" s="52"/>
      <x:c r="E14" s="52"/>
      <x:c r="F14" s="52"/>
      <x:c r="G14" s="52"/>
      <x:c r="H14" s="52"/>
    </x:row>
    <x:row r="15" ht="30" customHeight="1">
      <x:c r="A15" s="26" t="str">
        <x:v>Adjusted Weight</x:v>
      </x:c>
      <x:c r="B15" s="68" t="n">
        <x:v>0.3</x:v>
      </x:c>
      <x:c r="C15" s="26" t="str">
        <x:v>WI Reference</x:v>
      </x:c>
      <x:c r="D15" s="16" t="str">
        <x:v>WI-HRD-012, WI-HRD-013, WI-HRD-014
Bukti: database SDM, rekap absensi, payroll input checklist.</x:v>
      </x:c>
      <x:c r="E15" s="52"/>
      <x:c r="F15" s="52"/>
      <x:c r="G15" s="52"/>
      <x:c r="H15" s="52"/>
    </x:row>
    <x:row r="16" ht="36" customHeight="1">
      <x:c r="A16" s="26" t="str">
        <x:v>Objective</x:v>
      </x:c>
      <x:c r="B16" s="16" t="str">
        <x:v>Menjaga data kepegawaian, absensi, cuti, benefit, dan input payroll lengkap serta aman.</x:v>
      </x:c>
      <x:c r="C16" s="52"/>
      <x:c r="D16" s="52"/>
      <x:c r="E16" s="52"/>
      <x:c r="F16" s="52"/>
      <x:c r="G16" s="52"/>
      <x:c r="H16" s="52"/>
    </x:row>
    <x:row r="17" ht="32" customHeight="1">
      <x:c r="A17" s="26" t="str">
        <x:v>Target Baseline</x:v>
      </x:c>
      <x:c r="B17" s="16" t="str">
        <x:v>4 update/bulan; 100% data payroll sebelum cut-off; 0 data sensitif dibuka tanpa otorisasi.</x:v>
      </x:c>
      <x:c r="C17" s="52"/>
      <x:c r="D17" s="52"/>
      <x:c r="E17" s="52"/>
      <x:c r="F17" s="52"/>
      <x:c r="G17" s="52"/>
      <x:c r="H17" s="52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 ht="36" customHeight="1">
      <x:c r="A19" s="36" t="str">
        <x:v>No.</x:v>
      </x:c>
      <x:c r="B19" s="36" t="str">
        <x:v>KPI Detail / What to Check</x:v>
      </x:c>
      <x:c r="C19" s="36" t="str">
        <x:v>Actual Result</x:v>
      </x:c>
      <x:c r="D19" s="36" t="str">
        <x:v>Achievement %
(0–100)</x:v>
      </x:c>
      <x:c r="E19" s="36" t="str">
        <x:v>Evidence / Proof</x:v>
      </x:c>
      <x:c r="F19" s="36" t="str">
        <x:v>Status</x:v>
      </x:c>
      <x:c r="G19" s="36" t="str">
        <x:v>Issue / Root Cause</x:v>
      </x:c>
      <x:c r="H19" s="36" t="str">
        <x:v>Action / Follow-up</x:v>
      </x:c>
    </x:row>
    <x:row r="20" ht="52" customHeight="1">
      <x:c r="A20" s="16" t="n">
        <x:v>1</x:v>
      </x:c>
      <x:c r="B20" s="16" t="str">
        <x:v>Rekap absensi/cuti diperbarui minimal mingguan.</x:v>
      </x:c>
      <x:c r="C20" s="54" t="str"/>
      <x:c r="D20" s="54" t="str"/>
      <x:c r="E20" s="54" t="str"/>
      <x:c r="F20" s="46" t="str">
        <x:f>IF(D20="","",IF(D20&gt;=90,"On Track",IF(D20&gt;=80,"Good",IF(D20&gt;=70,"Need Improvement","Priority"))))</x:f>
      </x:c>
      <x:c r="G20" s="54" t="str"/>
      <x:c r="H20" s="54" t="str"/>
    </x:row>
    <x:row r="21" ht="52" customHeight="1">
      <x:c r="A21" s="16" t="n">
        <x:v>2</x:v>
      </x:c>
      <x:c r="B21" s="16" t="str">
        <x:v>100% perubahan status karyawan, data rekening, BPJS, dan komponen gaji diperbarui sebelum cut-off payroll.</x:v>
      </x:c>
      <x:c r="C21" s="54" t="str"/>
      <x:c r="D21" s="54" t="str"/>
      <x:c r="E21" s="54" t="str"/>
      <x:c r="F21" s="46" t="str">
        <x:f>IF(D21="","",IF(D21&gt;=90,"On Track",IF(D21&gt;=80,"Good",IF(D21&gt;=70,"Need Improvement","Priority"))))</x:f>
      </x:c>
      <x:c r="G21" s="54" t="str"/>
      <x:c r="H21" s="54" t="str"/>
    </x:row>
    <x:row r="22" ht="52" customHeight="1">
      <x:c r="A22" s="16" t="n">
        <x:v>3</x:v>
      </x:c>
      <x:c r="B22" s="16" t="str">
        <x:v>Data payroll diserahkan ke FAT sesuai jadwal cut-off yang disepakati.</x:v>
      </x:c>
      <x:c r="C22" s="54" t="str"/>
      <x:c r="D22" s="54" t="str"/>
      <x:c r="E22" s="54" t="str"/>
      <x:c r="F22" s="46" t="str">
        <x:f>IF(D22="","",IF(D22&gt;=90,"On Track",IF(D22&gt;=80,"Good",IF(D22&gt;=70,"Need Improvement","Priority"))))</x:f>
      </x:c>
      <x:c r="G22" s="54" t="str"/>
      <x:c r="H22" s="54" t="str"/>
    </x:row>
    <x:row r="23">
      <x:c r="A23" s="26" t="str">
        <x:v>Card Score</x:v>
      </x:c>
      <x:c r="B23" s="46" t="str">
        <x:f>IF(COUNT(D20:D22)=0,"",AVERAGE(D20:D22))</x:f>
      </x:c>
      <x:c r="C23" s="26" t="str">
        <x:v>Weighted Score</x:v>
      </x:c>
      <x:c r="D23" s="46" t="str">
        <x:f>IF(B23="","",B23*$B$15)</x:f>
      </x:c>
      <x:c r="E23" s="26" t="str">
        <x:v>Card Status</x:v>
      </x:c>
      <x:c r="F23" s="46" t="str">
        <x:f>IF(COUNT(D20:D22)=0,"Waiting for Input",IF(B23&gt;=90,"On Track",IF(B23&gt;=80,"Good",IF(B23&gt;=70,"Need Improvement","Priority"))))</x:f>
        <x:v>Waiting for Input</x:v>
      </x:c>
      <x:c r="G23" s="52"/>
      <x:c r="H23" s="52"/>
    </x:row>
    <x:row r="24" ht="34" customHeight="1">
      <x:c r="A24" s="26" t="str">
        <x:v>Overall Root Cause / Key Finding</x:v>
      </x:c>
      <x:c r="B24" s="54" t="str"/>
      <x:c r="C24" s="52"/>
      <x:c r="D24" s="52"/>
      <x:c r="E24" s="52"/>
      <x:c r="F24" s="52"/>
      <x:c r="G24" s="52"/>
      <x:c r="H24" s="52"/>
    </x:row>
    <x:row r="25" ht="34" customHeight="1">
      <x:c r="A25" s="26" t="str">
        <x:v>Action Plan, PIC &amp; Due Date</x:v>
      </x:c>
      <x:c r="B25" s="54" t="str"/>
      <x:c r="C25" s="52"/>
      <x:c r="D25" s="52"/>
      <x:c r="E25" s="52"/>
      <x:c r="F25" s="52"/>
      <x:c r="G25" s="52"/>
      <x:c r="H25" s="52"/>
    </x:row>
    <x:row r="26" ht="34" customHeight="1">
      <x:c r="A26" s="26" t="str">
        <x:v>Reviewer Note</x:v>
      </x:c>
      <x:c r="B26" s="54" t="str"/>
      <x:c r="C26" s="52"/>
      <x:c r="D26" s="52"/>
      <x:c r="E26" s="52"/>
      <x:c r="F26" s="52"/>
      <x:c r="G26" s="52"/>
      <x:c r="H26" s="52"/>
    </x:row>
    <x:row r="27">
      <x:c r="A27" s="52"/>
      <x:c r="B27" s="52"/>
      <x:c r="C27" s="52"/>
      <x:c r="D27" s="52"/>
      <x:c r="E27" s="52"/>
      <x:c r="F27" s="52"/>
      <x:c r="G27" s="52"/>
      <x:c r="H27" s="52"/>
    </x:row>
    <x:row r="28" ht="24" customHeight="1">
      <x:c r="A28" s="62" t="str">
        <x:v>RC-KPI-HRD-GEN-02 — Recruitment, Offering &amp; Onboarding</x:v>
      </x:c>
      <x:c r="B28" s="52"/>
      <x:c r="C28" s="52"/>
      <x:c r="D28" s="52"/>
      <x:c r="E28" s="52"/>
      <x:c r="F28" s="52"/>
      <x:c r="G28" s="52"/>
      <x:c r="H28" s="52"/>
    </x:row>
    <x:row r="29" ht="24" customHeight="1">
      <x:c r="A29" s="26" t="str">
        <x:v>KPI / Phase</x:v>
      </x:c>
      <x:c r="B29" s="16" t="str">
        <x:v>Recruitment, Offering &amp; Onboarding</x:v>
      </x:c>
      <x:c r="C29" s="52"/>
      <x:c r="D29" s="52"/>
      <x:c r="E29" s="52"/>
      <x:c r="F29" s="52"/>
      <x:c r="G29" s="52"/>
      <x:c r="H29" s="52"/>
    </x:row>
    <x:row r="30" ht="30" customHeight="1">
      <x:c r="A30" s="26" t="str">
        <x:v>Adjusted Weight</x:v>
      </x:c>
      <x:c r="B30" s="68" t="n">
        <x:v>0.25</x:v>
      </x:c>
      <x:c r="C30" s="26" t="str">
        <x:v>WI Reference</x:v>
      </x:c>
      <x:c r="D30" s="16" t="str">
        <x:v>WI-HRD-001, WI-HRD-003, WI-HRD-004, WI-HRD-005, WI-HRD-006
Bukti: form kebutuhan, shortlist, interview notes, offering, onboarding checklist.</x:v>
      </x:c>
      <x:c r="E30" s="52"/>
      <x:c r="F30" s="52"/>
      <x:c r="G30" s="52"/>
      <x:c r="H30" s="52"/>
    </x:row>
    <x:row r="31" ht="36" customHeight="1">
      <x:c r="A31" s="26" t="str">
        <x:v>Objective</x:v>
      </x:c>
      <x:c r="B31" s="16" t="str">
        <x:v>Memenuhi kebutuhan personel melalui proses rekrutmen yang jelas, terdokumentasi, dan selaras dengan kebutuhan user.</x:v>
      </x:c>
      <x:c r="C31" s="52"/>
      <x:c r="D31" s="52"/>
      <x:c r="E31" s="52"/>
      <x:c r="F31" s="52"/>
      <x:c r="G31" s="52"/>
      <x:c r="H31" s="52"/>
    </x:row>
    <x:row r="32" ht="32" customHeight="1">
      <x:c r="A32" s="26" t="str">
        <x:v>Target Baseline</x:v>
      </x:c>
      <x:c r="B32" s="16" t="str">
        <x:v>100% requisition approved; 100% kandidat ber-catatan; 100% onboarding checklist.</x:v>
      </x:c>
      <x:c r="C32" s="52"/>
      <x:c r="D32" s="52"/>
      <x:c r="E32" s="52"/>
      <x:c r="F32" s="52"/>
      <x:c r="G32" s="52"/>
      <x:c r="H32" s="52"/>
    </x:row>
    <x:row r="33">
      <x:c r="A33" s="52"/>
      <x:c r="B33" s="52"/>
      <x:c r="C33" s="52"/>
      <x:c r="D33" s="52"/>
      <x:c r="E33" s="52"/>
      <x:c r="F33" s="52"/>
      <x:c r="G33" s="52"/>
      <x:c r="H33" s="52"/>
    </x:row>
    <x:row r="34" ht="36" customHeight="1">
      <x:c r="A34" s="36" t="str">
        <x:v>No.</x:v>
      </x:c>
      <x:c r="B34" s="36" t="str">
        <x:v>KPI Detail / What to Check</x:v>
      </x:c>
      <x:c r="C34" s="36" t="str">
        <x:v>Actual Result</x:v>
      </x:c>
      <x:c r="D34" s="36" t="str">
        <x:v>Achievement %
(0–100)</x:v>
      </x:c>
      <x:c r="E34" s="36" t="str">
        <x:v>Evidence / Proof</x:v>
      </x:c>
      <x:c r="F34" s="36" t="str">
        <x:v>Status</x:v>
      </x:c>
      <x:c r="G34" s="36" t="str">
        <x:v>Issue / Root Cause</x:v>
      </x:c>
      <x:c r="H34" s="36" t="str">
        <x:v>Action / Follow-up</x:v>
      </x:c>
    </x:row>
    <x:row r="35" ht="52" customHeight="1">
      <x:c r="A35" s="16" t="n">
        <x:v>1</x:v>
      </x:c>
      <x:c r="B35" s="16" t="str">
        <x:v>100% permintaan personel memiliki analisis kebutuhan dan approval sebelum lowongan dibuka.</x:v>
      </x:c>
      <x:c r="C35" s="54" t="str"/>
      <x:c r="D35" s="54" t="str"/>
      <x:c r="E35" s="54" t="str"/>
      <x:c r="F35" s="46" t="str">
        <x:f>IF(D35="","",IF(D35&gt;=90,"On Track",IF(D35&gt;=80,"Good",IF(D35&gt;=70,"Need Improvement","Priority"))))</x:f>
      </x:c>
      <x:c r="G35" s="54" t="str"/>
      <x:c r="H35" s="54" t="str"/>
    </x:row>
    <x:row r="36" ht="52" customHeight="1">
      <x:c r="A36" s="16" t="n">
        <x:v>2</x:v>
      </x:c>
      <x:c r="B36" s="16" t="str">
        <x:v>100% kandidat yang diproses memiliki catatan screening/interview.</x:v>
      </x:c>
      <x:c r="C36" s="54" t="str"/>
      <x:c r="D36" s="54" t="str"/>
      <x:c r="E36" s="54" t="str"/>
      <x:c r="F36" s="46" t="str">
        <x:f>IF(D36="","",IF(D36&gt;=90,"On Track",IF(D36&gt;=80,"Good",IF(D36&gt;=70,"Need Improvement","Priority"))))</x:f>
      </x:c>
      <x:c r="G36" s="54" t="str"/>
      <x:c r="H36" s="54" t="str"/>
    </x:row>
    <x:row r="37" ht="52" customHeight="1">
      <x:c r="A37" s="16" t="n">
        <x:v>3</x:v>
      </x:c>
      <x:c r="B37" s="16" t="str">
        <x:v>100% karyawan baru menjalani checklist onboarding dan follow-up minggu pertama.</x:v>
      </x:c>
      <x:c r="C37" s="54" t="str"/>
      <x:c r="D37" s="54" t="str"/>
      <x:c r="E37" s="54" t="str"/>
      <x:c r="F37" s="46" t="str">
        <x:f>IF(D37="","",IF(D37&gt;=90,"On Track",IF(D37&gt;=80,"Good",IF(D37&gt;=70,"Need Improvement","Priority"))))</x:f>
      </x:c>
      <x:c r="G37" s="54" t="str"/>
      <x:c r="H37" s="54" t="str"/>
    </x:row>
    <x:row r="38">
      <x:c r="A38" s="26" t="str">
        <x:v>Card Score</x:v>
      </x:c>
      <x:c r="B38" s="46" t="str">
        <x:f>IF(COUNT(D35:D37)=0,"",AVERAGE(D35:D37))</x:f>
      </x:c>
      <x:c r="C38" s="26" t="str">
        <x:v>Weighted Score</x:v>
      </x:c>
      <x:c r="D38" s="46" t="str">
        <x:f>IF(B38="","",B38*$B$30)</x:f>
      </x:c>
      <x:c r="E38" s="26" t="str">
        <x:v>Card Status</x:v>
      </x:c>
      <x:c r="F38" s="46" t="str">
        <x:f>IF(COUNT(D35:D37)=0,"Waiting for Input",IF(B38&gt;=90,"On Track",IF(B38&gt;=80,"Good",IF(B38&gt;=70,"Need Improvement","Priority"))))</x:f>
        <x:v>Waiting for Input</x:v>
      </x:c>
      <x:c r="G38" s="52"/>
      <x:c r="H38" s="52"/>
    </x:row>
    <x:row r="39" ht="34" customHeight="1">
      <x:c r="A39" s="26" t="str">
        <x:v>Overall Root Cause / Key Finding</x:v>
      </x:c>
      <x:c r="B39" s="54" t="str"/>
      <x:c r="C39" s="52"/>
      <x:c r="D39" s="52"/>
      <x:c r="E39" s="52"/>
      <x:c r="F39" s="52"/>
      <x:c r="G39" s="52"/>
      <x:c r="H39" s="52"/>
    </x:row>
    <x:row r="40" ht="34" customHeight="1">
      <x:c r="A40" s="26" t="str">
        <x:v>Action Plan, PIC &amp; Due Date</x:v>
      </x:c>
      <x:c r="B40" s="54" t="str"/>
      <x:c r="C40" s="52"/>
      <x:c r="D40" s="52"/>
      <x:c r="E40" s="52"/>
      <x:c r="F40" s="52"/>
      <x:c r="G40" s="52"/>
      <x:c r="H40" s="52"/>
    </x:row>
    <x:row r="41" ht="34" customHeight="1">
      <x:c r="A41" s="26" t="str">
        <x:v>Reviewer Note</x:v>
      </x:c>
      <x:c r="B41" s="54" t="str"/>
      <x:c r="C41" s="52"/>
      <x:c r="D41" s="52"/>
      <x:c r="E41" s="52"/>
      <x:c r="F41" s="52"/>
      <x:c r="G41" s="52"/>
      <x:c r="H41" s="52"/>
    </x:row>
    <x:row r="42">
      <x:c r="A42" s="52"/>
      <x:c r="B42" s="52"/>
      <x:c r="C42" s="52"/>
      <x:c r="D42" s="52"/>
      <x:c r="E42" s="52"/>
      <x:c r="F42" s="52"/>
      <x:c r="G42" s="52"/>
      <x:c r="H42" s="52"/>
    </x:row>
    <x:row r="43" ht="24" customHeight="1">
      <x:c r="A43" s="62" t="str">
        <x:v>RC-KPI-HRD-GEN-03 — KPI, TNA, Training &amp; Budaya</x:v>
      </x:c>
      <x:c r="B43" s="52"/>
      <x:c r="C43" s="52"/>
      <x:c r="D43" s="52"/>
      <x:c r="E43" s="52"/>
      <x:c r="F43" s="52"/>
      <x:c r="G43" s="52"/>
      <x:c r="H43" s="52"/>
    </x:row>
    <x:row r="44" ht="24" customHeight="1">
      <x:c r="A44" s="26" t="str">
        <x:v>KPI / Phase</x:v>
      </x:c>
      <x:c r="B44" s="16" t="str">
        <x:v>KPI, TNA, Training &amp; Budaya</x:v>
      </x:c>
      <x:c r="C44" s="52"/>
      <x:c r="D44" s="52"/>
      <x:c r="E44" s="52"/>
      <x:c r="F44" s="52"/>
      <x:c r="G44" s="52"/>
      <x:c r="H44" s="52"/>
    </x:row>
    <x:row r="45" ht="30" customHeight="1">
      <x:c r="A45" s="26" t="str">
        <x:v>Adjusted Weight</x:v>
      </x:c>
      <x:c r="B45" s="68" t="n">
        <x:v>0.25</x:v>
      </x:c>
      <x:c r="C45" s="26" t="str">
        <x:v>WI Reference</x:v>
      </x:c>
      <x:c r="D45" s="16" t="str">
        <x:v>WI-HRD-002, WI-HRD-007, WI-HRD-008, WI-HRD-009, WI-HRD-010, WI-HRD-017
Bukti: KPI tracker, TNA, daftar hadir, feedback/PIP/action plan.</x:v>
      </x:c>
      <x:c r="E45" s="52"/>
      <x:c r="F45" s="52"/>
      <x:c r="G45" s="52"/>
      <x:c r="H45" s="52"/>
    </x:row>
    <x:row r="46" ht="36" customHeight="1">
      <x:c r="A46" s="26" t="str">
        <x:v>Objective</x:v>
      </x:c>
      <x:c r="B46" s="16" t="str">
        <x:v>Memastikan sistem kinerja dan pengembangan berjalan ringan tetapi konsisten bagi seluruh divisi.</x:v>
      </x:c>
      <x:c r="C46" s="52"/>
      <x:c r="D46" s="52"/>
      <x:c r="E46" s="52"/>
      <x:c r="F46" s="52"/>
      <x:c r="G46" s="52"/>
      <x:c r="H46" s="52"/>
    </x:row>
    <x:row r="47" ht="32" customHeight="1">
      <x:c r="A47" s="26" t="str">
        <x:v>Target Baseline</x:v>
      </x:c>
      <x:c r="B47" s="16" t="str">
        <x:v>100% scorecard termonitor; ≥1 aktivitas L&amp;D/feedback; 100% action plan terdokumentasi.</x:v>
      </x:c>
      <x:c r="C47" s="52"/>
      <x:c r="D47" s="52"/>
      <x:c r="E47" s="52"/>
      <x:c r="F47" s="52"/>
      <x:c r="G47" s="52"/>
      <x:c r="H47" s="52"/>
    </x:row>
    <x:row r="48">
      <x:c r="A48" s="52"/>
      <x:c r="B48" s="52"/>
      <x:c r="C48" s="52"/>
      <x:c r="D48" s="52"/>
      <x:c r="E48" s="52"/>
      <x:c r="F48" s="52"/>
      <x:c r="G48" s="52"/>
      <x:c r="H48" s="52"/>
    </x:row>
    <x:row r="49" ht="36" customHeight="1">
      <x:c r="A49" s="36" t="str">
        <x:v>No.</x:v>
      </x:c>
      <x:c r="B49" s="36" t="str">
        <x:v>KPI Detail / What to Check</x:v>
      </x:c>
      <x:c r="C49" s="36" t="str">
        <x:v>Actual Result</x:v>
      </x:c>
      <x:c r="D49" s="36" t="str">
        <x:v>Achievement %
(0–100)</x:v>
      </x:c>
      <x:c r="E49" s="36" t="str">
        <x:v>Evidence / Proof</x:v>
      </x:c>
      <x:c r="F49" s="36" t="str">
        <x:v>Status</x:v>
      </x:c>
      <x:c r="G49" s="36" t="str">
        <x:v>Issue / Root Cause</x:v>
      </x:c>
      <x:c r="H49" s="36" t="str">
        <x:v>Action / Follow-up</x:v>
      </x:c>
    </x:row>
    <x:row r="50" ht="52" customHeight="1">
      <x:c r="A50" s="16" t="n">
        <x:v>1</x:v>
      </x:c>
      <x:c r="B50" s="16" t="str">
        <x:v>100% divisi memiliki scorecard KPI yang termonitor sesuai periode.</x:v>
      </x:c>
      <x:c r="C50" s="54" t="str"/>
      <x:c r="D50" s="54" t="str"/>
      <x:c r="E50" s="54" t="str"/>
      <x:c r="F50" s="46" t="str">
        <x:f>IF(D50="","",IF(D50&gt;=90,"On Track",IF(D50&gt;=80,"Good",IF(D50&gt;=70,"Need Improvement","Priority"))))</x:f>
      </x:c>
      <x:c r="G50" s="54" t="str"/>
      <x:c r="H50" s="54" t="str"/>
    </x:row>
    <x:row r="51" ht="52" customHeight="1">
      <x:c r="A51" s="16" t="n">
        <x:v>2</x:v>
      </x:c>
      <x:c r="B51" s="16" t="str">
        <x:v>Minimal 1 kegiatan TNA/training/feedback terstruktur per bulan atau sesuai kalender HR.</x:v>
      </x:c>
      <x:c r="C51" s="54" t="str"/>
      <x:c r="D51" s="54" t="str"/>
      <x:c r="E51" s="54" t="str"/>
      <x:c r="F51" s="46" t="str">
        <x:f>IF(D51="","",IF(D51&gt;=90,"On Track",IF(D51&gt;=80,"Good",IF(D51&gt;=70,"Need Improvement","Priority"))))</x:f>
      </x:c>
      <x:c r="G51" s="54" t="str"/>
      <x:c r="H51" s="54" t="str"/>
    </x:row>
    <x:row r="52" ht="52" customHeight="1">
      <x:c r="A52" s="16" t="n">
        <x:v>3</x:v>
      </x:c>
      <x:c r="B52" s="16" t="str">
        <x:v>Hasil evaluasi kinerja dan action plan terdokumentasi.</x:v>
      </x:c>
      <x:c r="C52" s="54" t="str"/>
      <x:c r="D52" s="54" t="str"/>
      <x:c r="E52" s="54" t="str"/>
      <x:c r="F52" s="46" t="str">
        <x:f>IF(D52="","",IF(D52&gt;=90,"On Track",IF(D52&gt;=80,"Good",IF(D52&gt;=70,"Need Improvement","Priority"))))</x:f>
      </x:c>
      <x:c r="G52" s="54" t="str"/>
      <x:c r="H52" s="54" t="str"/>
    </x:row>
    <x:row r="53">
      <x:c r="A53" s="26" t="str">
        <x:v>Card Score</x:v>
      </x:c>
      <x:c r="B53" s="46" t="str">
        <x:f>IF(COUNT(D50:D52)=0,"",AVERAGE(D50:D52))</x:f>
      </x:c>
      <x:c r="C53" s="26" t="str">
        <x:v>Weighted Score</x:v>
      </x:c>
      <x:c r="D53" s="46" t="str">
        <x:f>IF(B53="","",B53*$B$45)</x:f>
      </x:c>
      <x:c r="E53" s="26" t="str">
        <x:v>Card Status</x:v>
      </x:c>
      <x:c r="F53" s="46" t="str">
        <x:f>IF(COUNT(D50:D52)=0,"Waiting for Input",IF(B53&gt;=90,"On Track",IF(B53&gt;=80,"Good",IF(B53&gt;=70,"Need Improvement","Priority"))))</x:f>
        <x:v>Waiting for Input</x:v>
      </x:c>
      <x:c r="G53" s="52"/>
      <x:c r="H53" s="52"/>
    </x:row>
    <x:row r="54" ht="34" customHeight="1">
      <x:c r="A54" s="26" t="str">
        <x:v>Overall Root Cause / Key Finding</x:v>
      </x:c>
      <x:c r="B54" s="54" t="str"/>
      <x:c r="C54" s="52"/>
      <x:c r="D54" s="52"/>
      <x:c r="E54" s="52"/>
      <x:c r="F54" s="52"/>
      <x:c r="G54" s="52"/>
      <x:c r="H54" s="52"/>
    </x:row>
    <x:row r="55" ht="34" customHeight="1">
      <x:c r="A55" s="26" t="str">
        <x:v>Action Plan, PIC &amp; Due Date</x:v>
      </x:c>
      <x:c r="B55" s="54" t="str"/>
      <x:c r="C55" s="52"/>
      <x:c r="D55" s="52"/>
      <x:c r="E55" s="52"/>
      <x:c r="F55" s="52"/>
      <x:c r="G55" s="52"/>
      <x:c r="H55" s="52"/>
    </x:row>
    <x:row r="56" ht="34" customHeight="1">
      <x:c r="A56" s="26" t="str">
        <x:v>Reviewer Note</x:v>
      </x:c>
      <x:c r="B56" s="54" t="str"/>
      <x:c r="C56" s="52"/>
      <x:c r="D56" s="52"/>
      <x:c r="E56" s="52"/>
      <x:c r="F56" s="52"/>
      <x:c r="G56" s="52"/>
      <x:c r="H56" s="52"/>
    </x:row>
    <x:row r="57">
      <x:c r="A57" s="52"/>
      <x:c r="B57" s="52"/>
      <x:c r="C57" s="52"/>
      <x:c r="D57" s="52"/>
      <x:c r="E57" s="52"/>
      <x:c r="F57" s="52"/>
      <x:c r="G57" s="52"/>
      <x:c r="H57" s="52"/>
    </x:row>
    <x:row r="58" ht="24" customHeight="1">
      <x:c r="A58" s="62" t="str">
        <x:v>RC-KPI-HRD-GEN-04 — Dokumen Legal &amp; Compliance</x:v>
      </x:c>
      <x:c r="B58" s="52"/>
      <x:c r="C58" s="52"/>
      <x:c r="D58" s="52"/>
      <x:c r="E58" s="52"/>
      <x:c r="F58" s="52"/>
      <x:c r="G58" s="52"/>
      <x:c r="H58" s="52"/>
    </x:row>
    <x:row r="59" ht="24" customHeight="1">
      <x:c r="A59" s="26" t="str">
        <x:v>KPI / Phase</x:v>
      </x:c>
      <x:c r="B59" s="16" t="str">
        <x:v>Dokumen Legal &amp; Compliance</x:v>
      </x:c>
      <x:c r="C59" s="52"/>
      <x:c r="D59" s="52"/>
      <x:c r="E59" s="52"/>
      <x:c r="F59" s="52"/>
      <x:c r="G59" s="52"/>
      <x:c r="H59" s="52"/>
    </x:row>
    <x:row r="60" ht="30" customHeight="1">
      <x:c r="A60" s="26" t="str">
        <x:v>Adjusted Weight</x:v>
      </x:c>
      <x:c r="B60" s="68" t="n">
        <x:v>0.2</x:v>
      </x:c>
      <x:c r="C60" s="26" t="str">
        <x:v>WI Reference</x:v>
      </x:c>
      <x:c r="D60" s="16" t="str">
        <x:v>WI-HRD-015, WI-HRD-016
Bukti: kontrak/SK, tracker expiry, checklist compliance, mitigation log.</x:v>
      </x:c>
      <x:c r="E60" s="52"/>
      <x:c r="F60" s="52"/>
      <x:c r="G60" s="52"/>
      <x:c r="H60" s="52"/>
    </x:row>
    <x:row r="61" ht="36" customHeight="1">
      <x:c r="A61" s="26" t="str">
        <x:v>Objective</x:v>
      </x:c>
      <x:c r="B61" s="16" t="str">
        <x:v>Menjaga kontrak, SK, dokumen kepegawaian, dan kebijakan SDM tetap lengkap serta direview sebelum menimbulkan risiko.</x:v>
      </x:c>
      <x:c r="C61" s="52"/>
      <x:c r="D61" s="52"/>
      <x:c r="E61" s="52"/>
      <x:c r="F61" s="52"/>
      <x:c r="G61" s="52"/>
      <x:c r="H61" s="52"/>
    </x:row>
    <x:row r="62" ht="32" customHeight="1">
      <x:c r="A62" s="26" t="str">
        <x:v>Target Baseline</x:v>
      </x:c>
      <x:c r="B62" s="16" t="str">
        <x:v>100% dokumen on time; 1 update reminder/bulan; compliance min. triwulanan.</x:v>
      </x:c>
      <x:c r="C62" s="52"/>
      <x:c r="D62" s="52"/>
      <x:c r="E62" s="52"/>
      <x:c r="F62" s="52"/>
      <x:c r="G62" s="52"/>
      <x:c r="H62" s="52"/>
    </x:row>
    <x:row r="63">
      <x:c r="A63" s="52"/>
      <x:c r="B63" s="52"/>
      <x:c r="C63" s="52"/>
      <x:c r="D63" s="52"/>
      <x:c r="E63" s="52"/>
      <x:c r="F63" s="52"/>
      <x:c r="G63" s="52"/>
      <x:c r="H63" s="52"/>
    </x:row>
    <x:row r="64" ht="36" customHeight="1">
      <x:c r="A64" s="36" t="str">
        <x:v>No.</x:v>
      </x:c>
      <x:c r="B64" s="36" t="str">
        <x:v>KPI Detail / What to Check</x:v>
      </x:c>
      <x:c r="C64" s="36" t="str">
        <x:v>Actual Result</x:v>
      </x:c>
      <x:c r="D64" s="36" t="str">
        <x:v>Achievement %
(0–100)</x:v>
      </x:c>
      <x:c r="E64" s="36" t="str">
        <x:v>Evidence / Proof</x:v>
      </x:c>
      <x:c r="F64" s="36" t="str">
        <x:v>Status</x:v>
      </x:c>
      <x:c r="G64" s="36" t="str">
        <x:v>Issue / Root Cause</x:v>
      </x:c>
      <x:c r="H64" s="36" t="str">
        <x:v>Action / Follow-up</x:v>
      </x:c>
    </x:row>
    <x:row r="65" ht="52" customHeight="1">
      <x:c r="A65" s="16" t="n">
        <x:v>1</x:v>
      </x:c>
      <x:c r="B65" s="16" t="str">
        <x:v>100% dokumen legal baru/perubahan dibuat dan diarsipkan sebelum tanggal berlaku.</x:v>
      </x:c>
      <x:c r="C65" s="54" t="str"/>
      <x:c r="D65" s="54" t="str"/>
      <x:c r="E65" s="54" t="str"/>
      <x:c r="F65" s="46" t="str">
        <x:f>IF(D65="","",IF(D65&gt;=90,"On Track",IF(D65&gt;=80,"Good",IF(D65&gt;=70,"Need Improvement","Priority"))))</x:f>
      </x:c>
      <x:c r="G65" s="54" t="str"/>
      <x:c r="H65" s="54" t="str"/>
    </x:row>
    <x:row r="66" ht="52" customHeight="1">
      <x:c r="A66" s="16" t="n">
        <x:v>2</x:v>
      </x:c>
      <x:c r="B66" s="16" t="str">
        <x:v>Reminder kontrak jatuh tempo diperbarui setiap bulan.</x:v>
      </x:c>
      <x:c r="C66" s="54" t="str"/>
      <x:c r="D66" s="54" t="str"/>
      <x:c r="E66" s="54" t="str"/>
      <x:c r="F66" s="46" t="str">
        <x:f>IF(D66="","",IF(D66&gt;=90,"On Track",IF(D66&gt;=80,"Good",IF(D66&gt;=70,"Need Improvement","Priority"))))</x:f>
      </x:c>
      <x:c r="G66" s="54" t="str"/>
      <x:c r="H66" s="54" t="str"/>
    </x:row>
    <x:row r="67" ht="52" customHeight="1">
      <x:c r="A67" s="16" t="n">
        <x:v>3</x:v>
      </x:c>
      <x:c r="B67" s="16" t="str">
        <x:v>Checklist compliance dilakukan minimal triwulanan dan temuan memiliki rencana mitigasi.</x:v>
      </x:c>
      <x:c r="C67" s="54" t="str"/>
      <x:c r="D67" s="54" t="str"/>
      <x:c r="E67" s="54" t="str"/>
      <x:c r="F67" s="46" t="str">
        <x:f>IF(D67="","",IF(D67&gt;=90,"On Track",IF(D67&gt;=80,"Good",IF(D67&gt;=70,"Need Improvement","Priority"))))</x:f>
      </x:c>
      <x:c r="G67" s="54" t="str"/>
      <x:c r="H67" s="54" t="str"/>
    </x:row>
    <x:row r="68">
      <x:c r="A68" s="26" t="str">
        <x:v>Card Score</x:v>
      </x:c>
      <x:c r="B68" s="46" t="str">
        <x:f>IF(COUNT(D65:D67)=0,"",AVERAGE(D65:D67))</x:f>
      </x:c>
      <x:c r="C68" s="26" t="str">
        <x:v>Weighted Score</x:v>
      </x:c>
      <x:c r="D68" s="46" t="str">
        <x:f>IF(B68="","",B68*$B$60)</x:f>
      </x:c>
      <x:c r="E68" s="26" t="str">
        <x:v>Card Status</x:v>
      </x:c>
      <x:c r="F68" s="46" t="str">
        <x:f>IF(COUNT(D65:D67)=0,"Waiting for Input",IF(B68&gt;=90,"On Track",IF(B68&gt;=80,"Good",IF(B68&gt;=70,"Need Improvement","Priority"))))</x:f>
        <x:v>Waiting for Input</x:v>
      </x:c>
      <x:c r="G68" s="52"/>
      <x:c r="H68" s="52"/>
    </x:row>
    <x:row r="69" ht="34" customHeight="1">
      <x:c r="A69" s="26" t="str">
        <x:v>Overall Root Cause / Key Finding</x:v>
      </x:c>
      <x:c r="B69" s="54" t="str"/>
      <x:c r="C69" s="52"/>
      <x:c r="D69" s="52"/>
      <x:c r="E69" s="52"/>
      <x:c r="F69" s="52"/>
      <x:c r="G69" s="52"/>
      <x:c r="H69" s="52"/>
    </x:row>
    <x:row r="70" ht="34" customHeight="1">
      <x:c r="A70" s="26" t="str">
        <x:v>Action Plan, PIC &amp; Due Date</x:v>
      </x:c>
      <x:c r="B70" s="54" t="str"/>
      <x:c r="C70" s="52"/>
      <x:c r="D70" s="52"/>
      <x:c r="E70" s="52"/>
      <x:c r="F70" s="52"/>
      <x:c r="G70" s="52"/>
      <x:c r="H70" s="52"/>
    </x:row>
    <x:row r="71" ht="34" customHeight="1">
      <x:c r="A71" s="26" t="str">
        <x:v>Reviewer Note</x:v>
      </x:c>
      <x:c r="B71" s="54" t="str"/>
      <x:c r="C71" s="52"/>
      <x:c r="D71" s="52"/>
      <x:c r="E71" s="52"/>
      <x:c r="F71" s="52"/>
      <x:c r="G71" s="52"/>
      <x:c r="H71" s="52"/>
    </x:row>
    <x:row r="72">
      <x:c r="A72" s="52"/>
      <x:c r="B72" s="52"/>
      <x:c r="C72" s="52"/>
      <x:c r="D72" s="52"/>
      <x:c r="E72" s="52"/>
      <x:c r="F72" s="52"/>
      <x:c r="G72" s="52"/>
      <x:c r="H72" s="52"/>
    </x:row>
    <x:row r="73">
      <x:c r="A73" s="52"/>
      <x:c r="B73" s="52"/>
      <x:c r="C73" s="52"/>
      <x:c r="D73" s="52"/>
      <x:c r="E73" s="52"/>
      <x:c r="F73" s="52"/>
      <x:c r="G73" s="52"/>
      <x:c r="H73" s="52"/>
    </x:row>
  </x:sheetData>
  <x:mergeCells>
    <x:mergeCell ref="A1:H1"/>
    <x:mergeCell ref="A5:H5"/>
    <x:mergeCell ref="A13:H13"/>
    <x:mergeCell ref="B14:H14"/>
    <x:mergeCell ref="D15:H15"/>
    <x:mergeCell ref="B16:H16"/>
    <x:mergeCell ref="B17:H17"/>
    <x:mergeCell ref="F23:H23"/>
    <x:mergeCell ref="B24:H24"/>
    <x:mergeCell ref="B25:H25"/>
    <x:mergeCell ref="B26:H26"/>
    <x:mergeCell ref="A28:H28"/>
    <x:mergeCell ref="B29:H29"/>
    <x:mergeCell ref="D30:H30"/>
    <x:mergeCell ref="B31:H31"/>
    <x:mergeCell ref="B32:H32"/>
    <x:mergeCell ref="F38:H38"/>
    <x:mergeCell ref="B39:H39"/>
    <x:mergeCell ref="B40:H40"/>
    <x:mergeCell ref="B41:H41"/>
    <x:mergeCell ref="A43:H43"/>
    <x:mergeCell ref="B44:H44"/>
    <x:mergeCell ref="D45:H45"/>
    <x:mergeCell ref="B46:H46"/>
    <x:mergeCell ref="B47:H47"/>
    <x:mergeCell ref="F53:H53"/>
    <x:mergeCell ref="B54:H54"/>
    <x:mergeCell ref="B55:H55"/>
    <x:mergeCell ref="B56:H56"/>
    <x:mergeCell ref="A58:H58"/>
    <x:mergeCell ref="B59:H59"/>
    <x:mergeCell ref="D60:H60"/>
    <x:mergeCell ref="B61:H61"/>
    <x:mergeCell ref="B62:H62"/>
    <x:mergeCell ref="F68:H68"/>
    <x:mergeCell ref="B69:H69"/>
    <x:mergeCell ref="B70:H70"/>
    <x:mergeCell ref="B71:H71"/>
    <x:mergeCell ref="A11:B11"/>
    <x:mergeCell ref="G11:H11"/>
    <x:mergeCell ref="A12:H12"/>
  </x:mergeCells>
  <x:conditionalFormatting sqref="D20:D20">
    <x:cfRule type="cellIs" dxfId="474" priority="1" operator="greaterThanOrEqual">
      <x:formula>90</x:formula>
    </x:cfRule>
    <x:cfRule type="cellIs" dxfId="475" priority="2" operator="between">
      <x:formula>70</x:formula>
    </x:cfRule>
    <x:cfRule type="cellIs" dxfId="476" priority="3" operator="lessThan">
      <x:formula>70</x:formula>
    </x:cfRule>
  </x:conditionalFormatting>
  <x:conditionalFormatting sqref="D21:D21">
    <x:cfRule type="cellIs" dxfId="477" priority="4" operator="greaterThanOrEqual">
      <x:formula>90</x:formula>
    </x:cfRule>
    <x:cfRule type="cellIs" dxfId="478" priority="5" operator="between">
      <x:formula>70</x:formula>
    </x:cfRule>
    <x:cfRule type="cellIs" dxfId="479" priority="6" operator="lessThan">
      <x:formula>70</x:formula>
    </x:cfRule>
  </x:conditionalFormatting>
  <x:conditionalFormatting sqref="D22:D22">
    <x:cfRule type="cellIs" dxfId="480" priority="7" operator="greaterThanOrEqual">
      <x:formula>90</x:formula>
    </x:cfRule>
    <x:cfRule type="cellIs" dxfId="481" priority="8" operator="between">
      <x:formula>70</x:formula>
    </x:cfRule>
    <x:cfRule type="cellIs" dxfId="482" priority="9" operator="lessThan">
      <x:formula>70</x:formula>
    </x:cfRule>
  </x:conditionalFormatting>
  <x:conditionalFormatting sqref="D35:D35">
    <x:cfRule type="cellIs" dxfId="483" priority="10" operator="greaterThanOrEqual">
      <x:formula>90</x:formula>
    </x:cfRule>
    <x:cfRule type="cellIs" dxfId="484" priority="11" operator="between">
      <x:formula>70</x:formula>
    </x:cfRule>
    <x:cfRule type="cellIs" dxfId="485" priority="12" operator="lessThan">
      <x:formula>70</x:formula>
    </x:cfRule>
  </x:conditionalFormatting>
  <x:conditionalFormatting sqref="D36:D36">
    <x:cfRule type="cellIs" dxfId="486" priority="13" operator="greaterThanOrEqual">
      <x:formula>90</x:formula>
    </x:cfRule>
    <x:cfRule type="cellIs" dxfId="487" priority="14" operator="between">
      <x:formula>70</x:formula>
    </x:cfRule>
    <x:cfRule type="cellIs" dxfId="488" priority="15" operator="lessThan">
      <x:formula>70</x:formula>
    </x:cfRule>
  </x:conditionalFormatting>
  <x:conditionalFormatting sqref="D37:D37">
    <x:cfRule type="cellIs" dxfId="489" priority="16" operator="greaterThanOrEqual">
      <x:formula>90</x:formula>
    </x:cfRule>
    <x:cfRule type="cellIs" dxfId="490" priority="17" operator="between">
      <x:formula>70</x:formula>
    </x:cfRule>
    <x:cfRule type="cellIs" dxfId="491" priority="18" operator="lessThan">
      <x:formula>70</x:formula>
    </x:cfRule>
  </x:conditionalFormatting>
  <x:conditionalFormatting sqref="D50:D50">
    <x:cfRule type="cellIs" dxfId="492" priority="19" operator="greaterThanOrEqual">
      <x:formula>90</x:formula>
    </x:cfRule>
    <x:cfRule type="cellIs" dxfId="493" priority="20" operator="between">
      <x:formula>70</x:formula>
    </x:cfRule>
    <x:cfRule type="cellIs" dxfId="494" priority="21" operator="lessThan">
      <x:formula>70</x:formula>
    </x:cfRule>
  </x:conditionalFormatting>
  <x:conditionalFormatting sqref="D51:D51">
    <x:cfRule type="cellIs" dxfId="495" priority="22" operator="greaterThanOrEqual">
      <x:formula>90</x:formula>
    </x:cfRule>
    <x:cfRule type="cellIs" dxfId="496" priority="23" operator="between">
      <x:formula>70</x:formula>
    </x:cfRule>
    <x:cfRule type="cellIs" dxfId="497" priority="24" operator="lessThan">
      <x:formula>70</x:formula>
    </x:cfRule>
  </x:conditionalFormatting>
  <x:conditionalFormatting sqref="D52:D52">
    <x:cfRule type="cellIs" dxfId="498" priority="25" operator="greaterThanOrEqual">
      <x:formula>90</x:formula>
    </x:cfRule>
    <x:cfRule type="cellIs" dxfId="499" priority="26" operator="between">
      <x:formula>70</x:formula>
    </x:cfRule>
    <x:cfRule type="cellIs" dxfId="500" priority="27" operator="lessThan">
      <x:formula>70</x:formula>
    </x:cfRule>
  </x:conditionalFormatting>
  <x:conditionalFormatting sqref="D65:D65">
    <x:cfRule type="cellIs" dxfId="501" priority="28" operator="greaterThanOrEqual">
      <x:formula>90</x:formula>
    </x:cfRule>
    <x:cfRule type="cellIs" dxfId="502" priority="29" operator="between">
      <x:formula>70</x:formula>
    </x:cfRule>
    <x:cfRule type="cellIs" dxfId="503" priority="30" operator="lessThan">
      <x:formula>70</x:formula>
    </x:cfRule>
  </x:conditionalFormatting>
  <x:conditionalFormatting sqref="D66:D66">
    <x:cfRule type="cellIs" dxfId="504" priority="31" operator="greaterThanOrEqual">
      <x:formula>90</x:formula>
    </x:cfRule>
    <x:cfRule type="cellIs" dxfId="505" priority="32" operator="between">
      <x:formula>70</x:formula>
    </x:cfRule>
    <x:cfRule type="cellIs" dxfId="506" priority="33" operator="lessThan">
      <x:formula>70</x:formula>
    </x:cfRule>
  </x:conditionalFormatting>
  <x:conditionalFormatting sqref="D67:D67">
    <x:cfRule type="cellIs" dxfId="507" priority="34" operator="greaterThanOrEqual">
      <x:formula>90</x:formula>
    </x:cfRule>
    <x:cfRule type="cellIs" dxfId="508" priority="35" operator="between">
      <x:formula>70</x:formula>
    </x:cfRule>
    <x:cfRule type="cellIs" dxfId="509" priority="36" operator="lessThan">
      <x:formula>70</x:formula>
    </x:cfRule>
  </x:conditionalFormatting>
  <x:dataValidations count="12">
    <x:dataValidation type="list" sqref="D20">
      <x:formula1>"0,5,10,15,20,25,30,35,40,45,50,55,60,65,70,75,80,85,90,95,100"</x:formula1>
    </x:dataValidation>
    <x:dataValidation type="list" sqref="D21">
      <x:formula1>"0,5,10,15,20,25,30,35,40,45,50,55,60,65,70,75,80,85,90,95,100"</x:formula1>
    </x:dataValidation>
    <x:dataValidation type="list" sqref="D22">
      <x:formula1>"0,5,10,15,20,25,30,35,40,45,50,55,60,65,70,75,80,85,90,95,100"</x:formula1>
    </x:dataValidation>
    <x:dataValidation type="list" sqref="D35">
      <x:formula1>"0,5,10,15,20,25,30,35,40,45,50,55,60,65,70,75,80,85,90,95,100"</x:formula1>
    </x:dataValidation>
    <x:dataValidation type="list" sqref="D36">
      <x:formula1>"0,5,10,15,20,25,30,35,40,45,50,55,60,65,70,75,80,85,90,95,100"</x:formula1>
    </x:dataValidation>
    <x:dataValidation type="list" sqref="D37">
      <x:formula1>"0,5,10,15,20,25,30,35,40,45,50,55,60,65,70,75,80,85,90,95,100"</x:formula1>
    </x:dataValidation>
    <x:dataValidation type="list" sqref="D50">
      <x:formula1>"0,5,10,15,20,25,30,35,40,45,50,55,60,65,70,75,80,85,90,95,100"</x:formula1>
    </x:dataValidation>
    <x:dataValidation type="list" sqref="D51">
      <x:formula1>"0,5,10,15,20,25,30,35,40,45,50,55,60,65,70,75,80,85,90,95,100"</x:formula1>
    </x:dataValidation>
    <x:dataValidation type="list" sqref="D52">
      <x:formula1>"0,5,10,15,20,25,30,35,40,45,50,55,60,65,70,75,80,85,90,95,100"</x:formula1>
    </x:dataValidation>
    <x:dataValidation type="list" sqref="D65">
      <x:formula1>"0,5,10,15,20,25,30,35,40,45,50,55,60,65,70,75,80,85,90,95,100"</x:formula1>
    </x:dataValidation>
    <x:dataValidation type="list" sqref="D66">
      <x:formula1>"0,5,10,15,20,25,30,35,40,45,50,55,60,65,70,75,80,85,90,95,100"</x:formula1>
    </x:dataValidation>
    <x:dataValidation type="list" sqref="D67">
      <x:formula1>"0,5,10,15,20,25,30,35,40,45,50,55,60,65,70,75,80,85,90,95,100"</x:formula1>
    </x:dataValidation>
  </x:dataValidations>
  <x:pageMargins left="0.7" right="0.7" top="0.75" bottom="0.75" header="0.3" footer="0.3"/>
</x:worksheet>
</file>